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creens" sheetId="2" state="visible" r:id="rId4"/>
    <sheet name="Components" sheetId="3" state="visible" r:id="rId5"/>
    <sheet name="Requirements" sheetId="4" state="visible" r:id="rId6"/>
    <sheet name="API" sheetId="5" state="visible" r:id="rId7"/>
    <sheet name="Database" sheetId="6" state="visible" r:id="rId8"/>
    <sheet name="Design Tokens" sheetId="7" state="visible" r:id="rId9"/>
  </sheets>
  <definedNames>
    <definedName function="false" hidden="true" localSheetId="4" name="_xlnm._FilterDatabase" vbProcedure="false">API!$A$4:$G$50</definedName>
    <definedName function="false" hidden="true" localSheetId="2" name="_xlnm._FilterDatabase" vbProcedure="false">Components!$A$4:$H$60</definedName>
    <definedName function="false" hidden="true" localSheetId="5" name="_xlnm._FilterDatabase" vbProcedure="false">Database!$A$4:$F$39</definedName>
    <definedName function="false" hidden="true" localSheetId="6" name="_xlnm._FilterDatabase" vbProcedure="false">'Design Tokens'!$A$4:$E$46</definedName>
    <definedName function="false" hidden="true" localSheetId="3" name="_xlnm._FilterDatabase" vbProcedure="false">Requirements!$A$4:$H$78</definedName>
    <definedName function="false" hidden="true" localSheetId="1" name="_xlnm._FilterDatabase" vbProcedure="false">Screens!$A$4:$I$54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<sst xmlns="http://schemas.openxmlformats.org/spreadsheetml/2006/main" count="2084" uniqueCount="984">
  <si>
    <t xml:space="preserve">Vakil.app — build tracker</t>
  </si>
  <si>
    <t xml:space="preserve">Single-entity case manager for advocates · Expo + NativeWind · Node.js API · Supabase · Plus Jakarta Sans · Tabler icons</t>
  </si>
  <si>
    <t xml:space="preserve">Track</t>
  </si>
  <si>
    <t xml:space="preserve">Total</t>
  </si>
  <si>
    <t xml:space="preserve">Done</t>
  </si>
  <si>
    <t xml:space="preserve">In progress</t>
  </si>
  <si>
    <t xml:space="preserve">Blocked</t>
  </si>
  <si>
    <t xml:space="preserve">% done</t>
  </si>
  <si>
    <t xml:space="preserve">Screens: design</t>
  </si>
  <si>
    <t xml:space="preserve">Screens: development</t>
  </si>
  <si>
    <t xml:space="preserve">Components: Figma</t>
  </si>
  <si>
    <t xml:space="preserve">Components: code</t>
  </si>
  <si>
    <t xml:space="preserve">Requirements: dev</t>
  </si>
  <si>
    <t xml:space="preserve">Requirements: QA</t>
  </si>
  <si>
    <t xml:space="preserve">API endpoints: dev</t>
  </si>
  <si>
    <t xml:space="preserve">Database: migrations</t>
  </si>
  <si>
    <t xml:space="preserve">How to use</t>
  </si>
  <si>
    <t xml:space="preserve">• Update the yellow status columns on each tab using the dropdown (Not started, In progress, In review, Done, Blocked).</t>
  </si>
  <si>
    <t xml:space="preserve">• This Overview recalculates automatically from those columns.</t>
  </si>
  <si>
    <t xml:space="preserve">• Screens row SCR-01 has example values to show the expected format; reset it when you start.</t>
  </si>
  <si>
    <t xml:space="preserve">• Source of truth for detail: the PRD, FRS and User Flow docs.</t>
  </si>
  <si>
    <t xml:space="preserve">Screen inventory</t>
  </si>
  <si>
    <t xml:space="preserve">50 screens, sheets and dialogs. Yellow columns are yours to update (pick from the dropdown).</t>
  </si>
  <si>
    <t xml:space="preserve">ID</t>
  </si>
  <si>
    <t xml:space="preserve">Screen</t>
  </si>
  <si>
    <t xml:space="preserve">Type</t>
  </si>
  <si>
    <t xml:space="preserve">Module</t>
  </si>
  <si>
    <t xml:space="preserve">Key components</t>
  </si>
  <si>
    <t xml:space="preserve">Priority</t>
  </si>
  <si>
    <t xml:space="preserve">Design status</t>
  </si>
  <si>
    <t xml:space="preserve">Dev status</t>
  </si>
  <si>
    <t xml:space="preserve">Notes</t>
  </si>
  <si>
    <t xml:space="preserve">SCR-01</t>
  </si>
  <si>
    <t xml:space="preserve">Splash</t>
  </si>
  <si>
    <t xml:space="preserve">Auth</t>
  </si>
  <si>
    <t xml:space="preserve">Logo on grad-glow</t>
  </si>
  <si>
    <t xml:space="preserve">P0</t>
  </si>
  <si>
    <t xml:space="preserve">Example row: logo exported</t>
  </si>
  <si>
    <t xml:space="preserve">SCR-02</t>
  </si>
  <si>
    <t xml:space="preserve">Welcome carousel (3 slides)</t>
  </si>
  <si>
    <t xml:space="preserve">Onboarding</t>
  </si>
  <si>
    <t xml:space="preserve">Illustration, dots, Gradient button</t>
  </si>
  <si>
    <t xml:space="preserve">Not started</t>
  </si>
  <si>
    <t xml:space="preserve">SCR-03</t>
  </si>
  <si>
    <t xml:space="preserve">Sign in (phone)</t>
  </si>
  <si>
    <t xml:space="preserve">Phone input, Primary button, email link</t>
  </si>
  <si>
    <t xml:space="preserve">SCR-04</t>
  </si>
  <si>
    <t xml:space="preserve">Sign in (email + password)</t>
  </si>
  <si>
    <t xml:space="preserve">Text fields, Primary button</t>
  </si>
  <si>
    <t xml:space="preserve">SCR-05</t>
  </si>
  <si>
    <t xml:space="preserve">OTP verification</t>
  </si>
  <si>
    <t xml:space="preserve">OTP input, 30 s resend timer</t>
  </si>
  <si>
    <t xml:space="preserve">SCR-06</t>
  </si>
  <si>
    <t xml:space="preserve">Profile setup</t>
  </si>
  <si>
    <t xml:space="preserve">Avatar, name, enrolment no., practice areas</t>
  </si>
  <si>
    <t xml:space="preserve">SCR-07</t>
  </si>
  <si>
    <t xml:space="preserve">Primary courts setup</t>
  </si>
  <si>
    <t xml:space="preserve">Searchable multi-select, Add court</t>
  </si>
  <si>
    <t xml:space="preserve">SCR-08</t>
  </si>
  <si>
    <t xml:space="preserve">Notification permission</t>
  </si>
  <si>
    <t xml:space="preserve">Illustration, Allow / Later</t>
  </si>
  <si>
    <t xml:space="preserve">SCR-09</t>
  </si>
  <si>
    <t xml:space="preserve">Home dashboard</t>
  </si>
  <si>
    <t xml:space="preserve">Tab</t>
  </si>
  <si>
    <t xml:space="preserve">Dashboard</t>
  </si>
  <si>
    <t xml:space="preserve">Hero card, stat grid, week strip, today list, quick actions</t>
  </si>
  <si>
    <t xml:space="preserve">SCR-10</t>
  </si>
  <si>
    <t xml:space="preserve">Today's hearings</t>
  </si>
  <si>
    <t xml:space="preserve">Grouped by court, hearing cards, Update</t>
  </si>
  <si>
    <t xml:space="preserve">SCR-11</t>
  </si>
  <si>
    <t xml:space="preserve">Cases list</t>
  </si>
  <si>
    <t xml:space="preserve">Cases</t>
  </si>
  <si>
    <t xml:space="preserve">Search, filter chips, sort, case cards, FAB</t>
  </si>
  <si>
    <t xml:space="preserve">SCR-12</t>
  </si>
  <si>
    <t xml:space="preserve">Case filters</t>
  </si>
  <si>
    <t xml:space="preserve">Sheet</t>
  </si>
  <si>
    <t xml:space="preserve">Status, type, court, date range, client</t>
  </si>
  <si>
    <t xml:space="preserve">SCR-13</t>
  </si>
  <si>
    <t xml:space="preserve">Sort options</t>
  </si>
  <si>
    <t xml:space="preserve">Radio list</t>
  </si>
  <si>
    <t xml:space="preserve">SCR-14</t>
  </si>
  <si>
    <t xml:space="preserve">Add case: 1 Basics</t>
  </si>
  <si>
    <t xml:space="preserve">Modal</t>
  </si>
  <si>
    <t xml:space="preserve">Stepper, title, case no., year, type, CNR</t>
  </si>
  <si>
    <t xml:space="preserve">SCR-15</t>
  </si>
  <si>
    <t xml:space="preserve">Add case: 2 Court</t>
  </si>
  <si>
    <t xml:space="preserve">Court select, room, judge, filing date</t>
  </si>
  <si>
    <t xml:space="preserve">SCR-16</t>
  </si>
  <si>
    <t xml:space="preserve">Add case: 3 Parties and client</t>
  </si>
  <si>
    <t xml:space="preserve">Segmented our side, client select/add, parties</t>
  </si>
  <si>
    <t xml:space="preserve">SCR-17</t>
  </si>
  <si>
    <t xml:space="preserve">Add case: 4 Stage and next date</t>
  </si>
  <si>
    <t xml:space="preserve">Stage, next date + quick chips, purpose, priority</t>
  </si>
  <si>
    <t xml:space="preserve">SCR-18</t>
  </si>
  <si>
    <t xml:space="preserve">Add case: Review and save</t>
  </si>
  <si>
    <t xml:space="preserve">Summary cards, Save, Save and add another</t>
  </si>
  <si>
    <t xml:space="preserve">SCR-19</t>
  </si>
  <si>
    <t xml:space="preserve">Case detail: Overview</t>
  </si>
  <si>
    <t xml:space="preserve">Header, status pill, next-date card, info, client card</t>
  </si>
  <si>
    <t xml:space="preserve">SCR-20</t>
  </si>
  <si>
    <t xml:space="preserve">Case detail: Hearings</t>
  </si>
  <si>
    <t xml:space="preserve">Hearings</t>
  </si>
  <si>
    <t xml:space="preserve">Timeline, Add hearing</t>
  </si>
  <si>
    <t xml:space="preserve">SCR-21</t>
  </si>
  <si>
    <t xml:space="preserve">Case detail: Documents</t>
  </si>
  <si>
    <t xml:space="preserve">Documents</t>
  </si>
  <si>
    <t xml:space="preserve">Document tiles, upload</t>
  </si>
  <si>
    <t xml:space="preserve">P1</t>
  </si>
  <si>
    <t xml:space="preserve">SCR-22</t>
  </si>
  <si>
    <t xml:space="preserve">Case detail: Notes</t>
  </si>
  <si>
    <t xml:space="preserve">Note cards, add note</t>
  </si>
  <si>
    <t xml:space="preserve">SCR-23</t>
  </si>
  <si>
    <t xml:space="preserve">Case detail: Fees</t>
  </si>
  <si>
    <t xml:space="preserve">Fees</t>
  </si>
  <si>
    <t xml:space="preserve">Fee summary card, payments</t>
  </si>
  <si>
    <t xml:space="preserve">SCR-24</t>
  </si>
  <si>
    <t xml:space="preserve">Case detail: Tasks</t>
  </si>
  <si>
    <t xml:space="preserve">Tasks</t>
  </si>
  <si>
    <t xml:space="preserve">Checklist rows, add task</t>
  </si>
  <si>
    <t xml:space="preserve">SCR-25</t>
  </si>
  <si>
    <t xml:space="preserve">Edit case</t>
  </si>
  <si>
    <t xml:space="preserve">All case fields, single scroll</t>
  </si>
  <si>
    <t xml:space="preserve">SCR-26</t>
  </si>
  <si>
    <t xml:space="preserve">Change status</t>
  </si>
  <si>
    <t xml:space="preserve">Status radios, disposal date + result</t>
  </si>
  <si>
    <t xml:space="preserve">SCR-27</t>
  </si>
  <si>
    <t xml:space="preserve">Case actions menu</t>
  </si>
  <si>
    <t xml:space="preserve">Action sheet</t>
  </si>
  <si>
    <t xml:space="preserve">Edit, status, share, archive, delete</t>
  </si>
  <si>
    <t xml:space="preserve">SCR-28</t>
  </si>
  <si>
    <t xml:space="preserve">Delete case confirm</t>
  </si>
  <si>
    <t xml:space="preserve">Dialog</t>
  </si>
  <si>
    <t xml:space="preserve">Destructive dialog, type case no.</t>
  </si>
  <si>
    <t xml:space="preserve">SCR-29</t>
  </si>
  <si>
    <t xml:space="preserve">Update hearing outcome</t>
  </si>
  <si>
    <t xml:space="preserve">Sheet (90%)</t>
  </si>
  <si>
    <t xml:space="preserve">Outcome chips, notes, next date chips</t>
  </si>
  <si>
    <t xml:space="preserve">SCR-30</t>
  </si>
  <si>
    <t xml:space="preserve">Add / edit hearing</t>
  </si>
  <si>
    <t xml:space="preserve">Date, time, purpose, room</t>
  </si>
  <si>
    <t xml:space="preserve">SCR-31</t>
  </si>
  <si>
    <t xml:space="preserve">Calendar: month</t>
  </si>
  <si>
    <t xml:space="preserve">Calendar</t>
  </si>
  <si>
    <t xml:space="preserve">Month grid with dots, day list</t>
  </si>
  <si>
    <t xml:space="preserve">SCR-32</t>
  </si>
  <si>
    <t xml:space="preserve">Calendar: day agenda</t>
  </si>
  <si>
    <t xml:space="preserve">Hearing cards by court</t>
  </si>
  <si>
    <t xml:space="preserve">SCR-33</t>
  </si>
  <si>
    <t xml:space="preserve">Clients list</t>
  </si>
  <si>
    <t xml:space="preserve">Clients</t>
  </si>
  <si>
    <t xml:space="preserve">Search, client cards, FAB</t>
  </si>
  <si>
    <t xml:space="preserve">SCR-34</t>
  </si>
  <si>
    <t xml:space="preserve">Add / edit client</t>
  </si>
  <si>
    <t xml:space="preserve">Name, phone, alt phone, email, address, notes</t>
  </si>
  <si>
    <t xml:space="preserve">SCR-35</t>
  </si>
  <si>
    <t xml:space="preserve">Client detail</t>
  </si>
  <si>
    <t xml:space="preserve">Contact actions, linked cases</t>
  </si>
  <si>
    <t xml:space="preserve">SCR-36</t>
  </si>
  <si>
    <t xml:space="preserve">Upload document</t>
  </si>
  <si>
    <t xml:space="preserve">Camera / gallery / files, name, category</t>
  </si>
  <si>
    <t xml:space="preserve">SCR-37</t>
  </si>
  <si>
    <t xml:space="preserve">Document viewer</t>
  </si>
  <si>
    <t xml:space="preserve">PDF/image viewer, share, rename, delete</t>
  </si>
  <si>
    <t xml:space="preserve">SCR-38</t>
  </si>
  <si>
    <t xml:space="preserve">Add / edit note</t>
  </si>
  <si>
    <t xml:space="preserve">Title, body, pin toggle</t>
  </si>
  <si>
    <t xml:space="preserve">SCR-39</t>
  </si>
  <si>
    <t xml:space="preserve">Add payment / set fee</t>
  </si>
  <si>
    <t xml:space="preserve">Amount, date, mode, note</t>
  </si>
  <si>
    <t xml:space="preserve">SCR-40</t>
  </si>
  <si>
    <t xml:space="preserve">Global search</t>
  </si>
  <si>
    <t xml:space="preserve">Search</t>
  </si>
  <si>
    <t xml:space="preserve">Search bar, recent, grouped results</t>
  </si>
  <si>
    <t xml:space="preserve">SCR-41</t>
  </si>
  <si>
    <t xml:space="preserve">Notifications centre</t>
  </si>
  <si>
    <t xml:space="preserve">Notifications</t>
  </si>
  <si>
    <t xml:space="preserve">Rows grouped by day, mark all read</t>
  </si>
  <si>
    <t xml:space="preserve">SCR-42</t>
  </si>
  <si>
    <t xml:space="preserve">More / Profile hub</t>
  </si>
  <si>
    <t xml:space="preserve">Settings</t>
  </si>
  <si>
    <t xml:space="preserve">Profile header, settings rows</t>
  </si>
  <si>
    <t xml:space="preserve">SCR-43</t>
  </si>
  <si>
    <t xml:space="preserve">Edit profile</t>
  </si>
  <si>
    <t xml:space="preserve">Profile fields</t>
  </si>
  <si>
    <t xml:space="preserve">SCR-44</t>
  </si>
  <si>
    <t xml:space="preserve">Appearance</t>
  </si>
  <si>
    <t xml:space="preserve">Dark / Light / System segmented, preview</t>
  </si>
  <si>
    <t xml:space="preserve">SCR-45</t>
  </si>
  <si>
    <t xml:space="preserve">Notification settings</t>
  </si>
  <si>
    <t xml:space="preserve">Toggles + time pickers</t>
  </si>
  <si>
    <t xml:space="preserve">SCR-46</t>
  </si>
  <si>
    <t xml:space="preserve">Manage courts and case types</t>
  </si>
  <si>
    <t xml:space="preserve">Editable lists, reorder</t>
  </si>
  <si>
    <t xml:space="preserve">SCR-47</t>
  </si>
  <si>
    <t xml:space="preserve">Security (app lock)</t>
  </si>
  <si>
    <t xml:space="preserve">Biometric toggle, PIN</t>
  </si>
  <si>
    <t xml:space="preserve">SCR-48</t>
  </si>
  <si>
    <t xml:space="preserve">Help and about</t>
  </si>
  <si>
    <t xml:space="preserve">FAQ, contact, version, privacy</t>
  </si>
  <si>
    <t xml:space="preserve">SCR-49</t>
  </si>
  <si>
    <t xml:space="preserve">Logout / delete account</t>
  </si>
  <si>
    <t xml:space="preserve">Confirm dialogs</t>
  </si>
  <si>
    <t xml:space="preserve">SCR-50</t>
  </si>
  <si>
    <t xml:space="preserve">System states</t>
  </si>
  <si>
    <t xml:space="preserve">Overlay</t>
  </si>
  <si>
    <t xml:space="preserve">Global</t>
  </si>
  <si>
    <t xml:space="preserve">Offline banner, error, empty, force update</t>
  </si>
  <si>
    <t xml:space="preserve">UI component library</t>
  </si>
  <si>
    <t xml:space="preserve">56 components. States for all: default, pressed (0.97), focused, disabled (40%), loading; inputs add error. Dark + light.</t>
  </si>
  <si>
    <t xml:space="preserve">Group</t>
  </si>
  <si>
    <t xml:space="preserve">Component</t>
  </si>
  <si>
    <t xml:space="preserve">Variants</t>
  </si>
  <si>
    <t xml:space="preserve">Size (dp)</t>
  </si>
  <si>
    <t xml:space="preserve">Style notes</t>
  </si>
  <si>
    <t xml:space="preserve">Figma status</t>
  </si>
  <si>
    <t xml:space="preserve">Code status</t>
  </si>
  <si>
    <t xml:space="preserve">CMP-01</t>
  </si>
  <si>
    <t xml:space="preserve">Actions</t>
  </si>
  <si>
    <t xml:space="preserve">Button</t>
  </si>
  <si>
    <t xml:space="preserve">Primary, Gradient, Secondary, Outline, Ghost, Destructive, Destructive-ghost</t>
  </si>
  <si>
    <t xml:space="preserve">sm 36, md 44, lg 52</t>
  </si>
  <si>
    <t xml:space="preserve">rounded-md, button type, icon 20, loading spinner</t>
  </si>
  <si>
    <t xml:space="preserve">CMP-02</t>
  </si>
  <si>
    <t xml:space="preserve">Icon button</t>
  </si>
  <si>
    <t xml:space="preserve">Filled, Tonal, Ghost, Outline</t>
  </si>
  <si>
    <t xml:space="preserve">32 / 40 / 48 (target 48)</t>
  </si>
  <si>
    <t xml:space="preserve">rounded-md or full</t>
  </si>
  <si>
    <t xml:space="preserve">CMP-03</t>
  </si>
  <si>
    <t xml:space="preserve">FAB</t>
  </si>
  <si>
    <t xml:space="preserve">Circular, Extended, Speed-dial</t>
  </si>
  <si>
    <t xml:space="preserve">56 / 52</t>
  </si>
  <si>
    <t xml:space="preserve">grad-primary, glow, hide on scroll down</t>
  </si>
  <si>
    <t xml:space="preserve">CMP-04</t>
  </si>
  <si>
    <t xml:space="preserve">Link / text action</t>
  </si>
  <si>
    <t xml:space="preserve">Default, Inline, With chevron</t>
  </si>
  <si>
    <t xml:space="preserve">20 line</t>
  </si>
  <si>
    <t xml:space="preserve">primary text</t>
  </si>
  <si>
    <t xml:space="preserve">CMP-05</t>
  </si>
  <si>
    <t xml:space="preserve">Quick action tile</t>
  </si>
  <si>
    <t xml:space="preserve">Icon + label</t>
  </si>
  <si>
    <t xml:space="preserve">88 x 88</t>
  </si>
  <si>
    <t xml:space="preserve">surface card, 40 dp primary-subtle icon circle</t>
  </si>
  <si>
    <t xml:space="preserve">CMP-06</t>
  </si>
  <si>
    <t xml:space="preserve">Swipe actions</t>
  </si>
  <si>
    <t xml:space="preserve">Leading, Trailing</t>
  </si>
  <si>
    <t xml:space="preserve">row height</t>
  </si>
  <si>
    <t xml:space="preserve">72 dp action width, haptic</t>
  </si>
  <si>
    <t xml:space="preserve">CMP-07</t>
  </si>
  <si>
    <t xml:space="preserve">Inputs</t>
  </si>
  <si>
    <t xml:space="preserve">Text field</t>
  </si>
  <si>
    <t xml:space="preserve">Filled, Outline; icons, prefix, suffix</t>
  </si>
  <si>
    <t xml:space="preserve">52</t>
  </si>
  <si>
    <t xml:space="preserve">surface-2 fill, label above, helper/error below</t>
  </si>
  <si>
    <t xml:space="preserve">CMP-08</t>
  </si>
  <si>
    <t xml:space="preserve">Text area</t>
  </si>
  <si>
    <t xml:space="preserve">Auto-grow 3-10 lines</t>
  </si>
  <si>
    <t xml:space="preserve">min 104</t>
  </si>
  <si>
    <t xml:space="preserve">same as field</t>
  </si>
  <si>
    <t xml:space="preserve">CMP-09</t>
  </si>
  <si>
    <t xml:space="preserve">Search bar</t>
  </si>
  <si>
    <t xml:space="preserve">Inline, Expanded, With filter</t>
  </si>
  <si>
    <t xml:space="preserve">44</t>
  </si>
  <si>
    <t xml:space="preserve">rounded-full, 300 ms debounce</t>
  </si>
  <si>
    <t xml:space="preserve">CMP-10</t>
  </si>
  <si>
    <t xml:space="preserve">Select (picker)</t>
  </si>
  <si>
    <t xml:space="preserve">Bottom-sheet list, searchable, Add new row</t>
  </si>
  <si>
    <t xml:space="preserve">chevron-down trailing</t>
  </si>
  <si>
    <t xml:space="preserve">CMP-11</t>
  </si>
  <si>
    <t xml:space="preserve">Multi-select</t>
  </si>
  <si>
    <t xml:space="preserve">Chips in field, checkbox sheet</t>
  </si>
  <si>
    <t xml:space="preserve">52+</t>
  </si>
  <si>
    <t xml:space="preserve">wrap 2 lines then +N</t>
  </si>
  <si>
    <t xml:space="preserve">CMP-12</t>
  </si>
  <si>
    <t xml:space="preserve">Date picker</t>
  </si>
  <si>
    <t xml:space="preserve">Calendar sheet + quick chips</t>
  </si>
  <si>
    <t xml:space="preserve">DD MMM YYYY, ddd</t>
  </si>
  <si>
    <t xml:space="preserve">CMP-13</t>
  </si>
  <si>
    <t xml:space="preserve">Time picker</t>
  </si>
  <si>
    <t xml:space="preserve">Wheel</t>
  </si>
  <si>
    <t xml:space="preserve">-</t>
  </si>
  <si>
    <t xml:space="preserve">12-hour, 15-min steps</t>
  </si>
  <si>
    <t xml:space="preserve">CMP-14</t>
  </si>
  <si>
    <t xml:space="preserve">Phone input</t>
  </si>
  <si>
    <t xml:space="preserve">+91 prefix, mask</t>
  </si>
  <si>
    <t xml:space="preserve">numeric keypad</t>
  </si>
  <si>
    <t xml:space="preserve">CMP-15</t>
  </si>
  <si>
    <t xml:space="preserve">OTP input</t>
  </si>
  <si>
    <t xml:space="preserve">6 boxes, autofill</t>
  </si>
  <si>
    <t xml:space="preserve">48 x 56 boxes</t>
  </si>
  <si>
    <t xml:space="preserve">shake on error</t>
  </si>
  <si>
    <t xml:space="preserve">CMP-16</t>
  </si>
  <si>
    <t xml:space="preserve">Amount input</t>
  </si>
  <si>
    <t xml:space="preserve">INR prefix, Indian grouping</t>
  </si>
  <si>
    <t xml:space="preserve">tabular numbers</t>
  </si>
  <si>
    <t xml:space="preserve">CMP-17</t>
  </si>
  <si>
    <t xml:space="preserve">Stepper form header</t>
  </si>
  <si>
    <t xml:space="preserve">Step x of 4 + progress</t>
  </si>
  <si>
    <t xml:space="preserve">grad-primary progress</t>
  </si>
  <si>
    <t xml:space="preserve">CMP-18</t>
  </si>
  <si>
    <t xml:space="preserve">Selection</t>
  </si>
  <si>
    <t xml:space="preserve">Toggle switch</t>
  </si>
  <si>
    <t xml:space="preserve">On / off, label row</t>
  </si>
  <si>
    <t xml:space="preserve">52 x 32</t>
  </si>
  <si>
    <t xml:space="preserve">on = primary</t>
  </si>
  <si>
    <t xml:space="preserve">CMP-19</t>
  </si>
  <si>
    <t xml:space="preserve">Checkbox</t>
  </si>
  <si>
    <t xml:space="preserve">Unchecked, checked, indeterminate</t>
  </si>
  <si>
    <t xml:space="preserve">22</t>
  </si>
  <si>
    <t xml:space="preserve">rounded-sm</t>
  </si>
  <si>
    <t xml:space="preserve">CMP-20</t>
  </si>
  <si>
    <t xml:space="preserve">Radio</t>
  </si>
  <si>
    <t xml:space="preserve">Unselected, selected</t>
  </si>
  <si>
    <t xml:space="preserve">8 dp dot</t>
  </si>
  <si>
    <t xml:space="preserve">CMP-21</t>
  </si>
  <si>
    <t xml:space="preserve">Segmented control</t>
  </si>
  <si>
    <t xml:space="preserve">2-4 segments</t>
  </si>
  <si>
    <t xml:space="preserve">40</t>
  </si>
  <si>
    <t xml:space="preserve">sliding pill indicator</t>
  </si>
  <si>
    <t xml:space="preserve">CMP-22</t>
  </si>
  <si>
    <t xml:space="preserve">Filter chip</t>
  </si>
  <si>
    <t xml:space="preserve">Unselected, selected, with count</t>
  </si>
  <si>
    <t xml:space="preserve">32</t>
  </si>
  <si>
    <t xml:space="preserve">selected = primary-subtle + primary border</t>
  </si>
  <si>
    <t xml:space="preserve">CMP-23</t>
  </si>
  <si>
    <t xml:space="preserve">Choice chip</t>
  </si>
  <si>
    <t xml:space="preserve">Single-select row</t>
  </si>
  <si>
    <t xml:space="preserve">same as filter chip</t>
  </si>
  <si>
    <t xml:space="preserve">CMP-24</t>
  </si>
  <si>
    <t xml:space="preserve">Input chip</t>
  </si>
  <si>
    <t xml:space="preserve">Removable, with avatar</t>
  </si>
  <si>
    <t xml:space="preserve">28</t>
  </si>
  <si>
    <t xml:space="preserve">CMP-25</t>
  </si>
  <si>
    <t xml:space="preserve">Display</t>
  </si>
  <si>
    <t xml:space="preserve">Status pill</t>
  </si>
  <si>
    <t xml:space="preserve">Active, Today, Adjourned, Reserved, Overdue, Disposed, Closed</t>
  </si>
  <si>
    <t xml:space="preserve">22 / 26</t>
  </si>
  <si>
    <t xml:space="preserve">status subtle bg + text, dot or icon</t>
  </si>
  <si>
    <t xml:space="preserve">CMP-26</t>
  </si>
  <si>
    <t xml:space="preserve">Badge</t>
  </si>
  <si>
    <t xml:space="preserve">Count, Dot, Text</t>
  </si>
  <si>
    <t xml:space="preserve">18 min</t>
  </si>
  <si>
    <t xml:space="preserve">rounded-full</t>
  </si>
  <si>
    <t xml:space="preserve">CMP-27</t>
  </si>
  <si>
    <t xml:space="preserve">Avatar</t>
  </si>
  <si>
    <t xml:space="preserve">Initials, Image, Icon</t>
  </si>
  <si>
    <t xml:space="preserve">24/32/40/56/80</t>
  </si>
  <si>
    <t xml:space="preserve">advocate avatar has gradient ring</t>
  </si>
  <si>
    <t xml:space="preserve">CMP-28</t>
  </si>
  <si>
    <t xml:space="preserve">List row</t>
  </si>
  <si>
    <t xml:space="preserve">1, 2, 3-line; leading/trailing slots</t>
  </si>
  <si>
    <t xml:space="preserve">min 56</t>
  </si>
  <si>
    <t xml:space="preserve">divider inset 56</t>
  </si>
  <si>
    <t xml:space="preserve">CMP-29</t>
  </si>
  <si>
    <t xml:space="preserve">Section header</t>
  </si>
  <si>
    <t xml:space="preserve">Overline + action</t>
  </si>
  <si>
    <t xml:space="preserve">overline text-3</t>
  </si>
  <si>
    <t xml:space="preserve">CMP-30</t>
  </si>
  <si>
    <t xml:space="preserve">Key-value row</t>
  </si>
  <si>
    <t xml:space="preserve">Plain, copyable</t>
  </si>
  <si>
    <t xml:space="preserve">copy icon</t>
  </si>
  <si>
    <t xml:space="preserve">CMP-31</t>
  </si>
  <si>
    <t xml:space="preserve">Timeline</t>
  </si>
  <si>
    <t xml:space="preserve">Past, today, future nodes</t>
  </si>
  <si>
    <t xml:space="preserve">dot colored by outcome</t>
  </si>
  <si>
    <t xml:space="preserve">CMP-32</t>
  </si>
  <si>
    <t xml:space="preserve">Calendar month grid</t>
  </si>
  <si>
    <t xml:space="preserve">Dots, today ring, selected</t>
  </si>
  <si>
    <t xml:space="preserve">44 cells</t>
  </si>
  <si>
    <t xml:space="preserve">max 3 dots</t>
  </si>
  <si>
    <t xml:space="preserve">CMP-33</t>
  </si>
  <si>
    <t xml:space="preserve">Week strip</t>
  </si>
  <si>
    <t xml:space="preserve">7-day scroller with counts</t>
  </si>
  <si>
    <t xml:space="preserve">56 x 72</t>
  </si>
  <si>
    <t xml:space="preserve">selected = grad-primary</t>
  </si>
  <si>
    <t xml:space="preserve">CMP-34</t>
  </si>
  <si>
    <t xml:space="preserve">Progress</t>
  </si>
  <si>
    <t xml:space="preserve">Linear, Ring, Indeterminate</t>
  </si>
  <si>
    <t xml:space="preserve">6 track</t>
  </si>
  <si>
    <t xml:space="preserve">CMP-35</t>
  </si>
  <si>
    <t xml:space="preserve">Divider</t>
  </si>
  <si>
    <t xml:space="preserve">Full, Inset, With label</t>
  </si>
  <si>
    <t xml:space="preserve">1</t>
  </si>
  <si>
    <t xml:space="preserve">border token</t>
  </si>
  <si>
    <t xml:space="preserve">CMP-36</t>
  </si>
  <si>
    <t xml:space="preserve">Info tag</t>
  </si>
  <si>
    <t xml:space="preserve">Icon + meta text</t>
  </si>
  <si>
    <t xml:space="preserve">body-sm text-2</t>
  </si>
  <si>
    <t xml:space="preserve">CMP-37</t>
  </si>
  <si>
    <t xml:space="preserve">Cards</t>
  </si>
  <si>
    <t xml:space="preserve">Hero Today card</t>
  </si>
  <si>
    <t xml:space="preserve">Hearings today / none</t>
  </si>
  <si>
    <t xml:space="preserve">grad-hero, rounded-xl, glow</t>
  </si>
  <si>
    <t xml:space="preserve">CMP-38</t>
  </si>
  <si>
    <t xml:space="preserve">Stat card</t>
  </si>
  <si>
    <t xml:space="preserve">Icon, number, label, trend</t>
  </si>
  <si>
    <t xml:space="preserve">2 x 2 grid, taps filter list</t>
  </si>
  <si>
    <t xml:space="preserve">CMP-39</t>
  </si>
  <si>
    <t xml:space="preserve">Case card</t>
  </si>
  <si>
    <t xml:space="preserve">Default, Overdue, Archived</t>
  </si>
  <si>
    <t xml:space="preserve">overdue = 3 dp error left accent</t>
  </si>
  <si>
    <t xml:space="preserve">CMP-40</t>
  </si>
  <si>
    <t xml:space="preserve">Hearing card</t>
  </si>
  <si>
    <t xml:space="preserve">Upcoming, Needs update, Done</t>
  </si>
  <si>
    <t xml:space="preserve">Update button</t>
  </si>
  <si>
    <t xml:space="preserve">CMP-41</t>
  </si>
  <si>
    <t xml:space="preserve">Client card</t>
  </si>
  <si>
    <t xml:space="preserve">With call / WhatsApp</t>
  </si>
  <si>
    <t xml:space="preserve">CMP-42</t>
  </si>
  <si>
    <t xml:space="preserve">Document tile</t>
  </si>
  <si>
    <t xml:space="preserve">Grid, List</t>
  </si>
  <si>
    <t xml:space="preserve">file-type icon, overflow menu</t>
  </si>
  <si>
    <t xml:space="preserve">CMP-43</t>
  </si>
  <si>
    <t xml:space="preserve">Note card</t>
  </si>
  <si>
    <t xml:space="preserve">Default, Pinned</t>
  </si>
  <si>
    <t xml:space="preserve">pinned = primary-subtle</t>
  </si>
  <si>
    <t xml:space="preserve">CMP-44</t>
  </si>
  <si>
    <t xml:space="preserve">Fee summary card</t>
  </si>
  <si>
    <t xml:space="preserve">Balance due, Fully paid</t>
  </si>
  <si>
    <t xml:space="preserve">ring progress, grad-success when paid</t>
  </si>
  <si>
    <t xml:space="preserve">CMP-45</t>
  </si>
  <si>
    <t xml:space="preserve">Navigation</t>
  </si>
  <si>
    <t xml:space="preserve">Bottom tab bar</t>
  </si>
  <si>
    <t xml:space="preserve">5 tabs</t>
  </si>
  <si>
    <t xml:space="preserve">64 + inset</t>
  </si>
  <si>
    <t xml:space="preserve">blur, active filled icon + pill</t>
  </si>
  <si>
    <t xml:space="preserve">CMP-46</t>
  </si>
  <si>
    <t xml:space="preserve">Top app bar</t>
  </si>
  <si>
    <t xml:space="preserve">Large, Compact, Transparent, Search</t>
  </si>
  <si>
    <t xml:space="preserve">96 / 56</t>
  </si>
  <si>
    <t xml:space="preserve">large title collapses</t>
  </si>
  <si>
    <t xml:space="preserve">CMP-47</t>
  </si>
  <si>
    <t xml:space="preserve">Tabs</t>
  </si>
  <si>
    <t xml:space="preserve">Underline, Pill</t>
  </si>
  <si>
    <t xml:space="preserve">sliding indicator 200 ms</t>
  </si>
  <si>
    <t xml:space="preserve">CMP-48</t>
  </si>
  <si>
    <t xml:space="preserve">Feedback</t>
  </si>
  <si>
    <t xml:space="preserve">Toast / snackbar</t>
  </si>
  <si>
    <t xml:space="preserve">Success, Error, Info, With Undo</t>
  </si>
  <si>
    <t xml:space="preserve">auto-dismiss 4 s (Undo 5 s)</t>
  </si>
  <si>
    <t xml:space="preserve">CMP-49</t>
  </si>
  <si>
    <t xml:space="preserve">Inline banner</t>
  </si>
  <si>
    <t xml:space="preserve">Info, Warning, Error, Offline</t>
  </si>
  <si>
    <t xml:space="preserve">status subtle bg</t>
  </si>
  <si>
    <t xml:space="preserve">CMP-50</t>
  </si>
  <si>
    <t xml:space="preserve">Empty state</t>
  </si>
  <si>
    <t xml:space="preserve">Per module</t>
  </si>
  <si>
    <t xml:space="preserve">icon badge with glow, CTA</t>
  </si>
  <si>
    <t xml:space="preserve">CMP-51</t>
  </si>
  <si>
    <t xml:space="preserve">Skeleton</t>
  </si>
  <si>
    <t xml:space="preserve">Card, row, text, avatar</t>
  </si>
  <si>
    <t xml:space="preserve">grad-shimmer 1.2 s</t>
  </si>
  <si>
    <t xml:space="preserve">CMP-52</t>
  </si>
  <si>
    <t xml:space="preserve">Overlays</t>
  </si>
  <si>
    <t xml:space="preserve">Bottom sheet</t>
  </si>
  <si>
    <t xml:space="preserve">Auto, Snap 50/90%, Full</t>
  </si>
  <si>
    <t xml:space="preserve">rounded-2xl top, scrim</t>
  </si>
  <si>
    <t xml:space="preserve">CMP-53</t>
  </si>
  <si>
    <t xml:space="preserve">Confirm, Destructive, Info</t>
  </si>
  <si>
    <t xml:space="preserve">max w 340</t>
  </si>
  <si>
    <t xml:space="preserve">rounded-2xl</t>
  </si>
  <si>
    <t xml:space="preserve">CMP-54</t>
  </si>
  <si>
    <t xml:space="preserve">Actions + Cancel</t>
  </si>
  <si>
    <t xml:space="preserve">CMP-55</t>
  </si>
  <si>
    <t xml:space="preserve">Pull-to-refresh</t>
  </si>
  <si>
    <t xml:space="preserve">Native</t>
  </si>
  <si>
    <t xml:space="preserve">primary tint</t>
  </si>
  <si>
    <t xml:space="preserve">CMP-56</t>
  </si>
  <si>
    <t xml:space="preserve">Loading overlay</t>
  </si>
  <si>
    <t xml:space="preserve">Blocking spinner</t>
  </si>
  <si>
    <t xml:space="preserve">rare</t>
  </si>
  <si>
    <t xml:space="preserve">Functional requirements</t>
  </si>
  <si>
    <t xml:space="preserve">Full detail in the FRS doc. Track build and QA here.</t>
  </si>
  <si>
    <t xml:space="preserve">Requirement</t>
  </si>
  <si>
    <t xml:space="preserve">Acceptance criteria</t>
  </si>
  <si>
    <t xml:space="preserve">QA status</t>
  </si>
  <si>
    <t xml:space="preserve">FR-AUTH-01</t>
  </si>
  <si>
    <t xml:space="preserve">Sign in with mobile + 6-digit OTP</t>
  </si>
  <si>
    <t xml:space="preserve">OTP within 10 s; resend after 30 s; 5 attempts / 15 min</t>
  </si>
  <si>
    <t xml:space="preserve">FR-AUTH-02</t>
  </si>
  <si>
    <t xml:space="preserve">Email + password fallback</t>
  </si>
  <si>
    <t xml:space="preserve">Min 8 chars; forgot password link</t>
  </si>
  <si>
    <t xml:space="preserve">FR-AUTH-03</t>
  </si>
  <si>
    <t xml:space="preserve">Persistent session, silent refresh</t>
  </si>
  <si>
    <t xml:space="preserve">30 days; tokens in SecureStore</t>
  </si>
  <si>
    <t xml:space="preserve">FR-AUTH-04</t>
  </si>
  <si>
    <t xml:space="preserve">Route new users to onboarding</t>
  </si>
  <si>
    <t xml:space="preserve">Based on onboarded_at</t>
  </si>
  <si>
    <t xml:space="preserve">FR-AUTH-05</t>
  </si>
  <si>
    <t xml:space="preserve">Logout clears tokens, cache, push token</t>
  </si>
  <si>
    <t xml:space="preserve">No data reachable after logout</t>
  </si>
  <si>
    <t xml:space="preserve">FR-ONB-01</t>
  </si>
  <si>
    <t xml:space="preserve">Profile: name, enrolment no., practice areas, photo</t>
  </si>
  <si>
    <t xml:space="preserve">Continue disabled until name valid</t>
  </si>
  <si>
    <t xml:space="preserve">FR-ONB-02</t>
  </si>
  <si>
    <t xml:space="preserve">Pick primary courts or add custom</t>
  </si>
  <si>
    <t xml:space="preserve">At least 1 court</t>
  </si>
  <si>
    <t xml:space="preserve">FR-ONB-03</t>
  </si>
  <si>
    <t xml:space="preserve">Explain then request notification permission</t>
  </si>
  <si>
    <t xml:space="preserve">Denied shows banner in Settings</t>
  </si>
  <si>
    <t xml:space="preserve">FR-DASH-01</t>
  </si>
  <si>
    <t xml:space="preserve">Hero card with today's hearings</t>
  </si>
  <si>
    <t xml:space="preserve">Zero state variant</t>
  </si>
  <si>
    <t xml:space="preserve">FR-DASH-02</t>
  </si>
  <si>
    <t xml:space="preserve">Stats: Active, Today, This week, Overdue</t>
  </si>
  <si>
    <t xml:space="preserve">Tap opens filtered list</t>
  </si>
  <si>
    <t xml:space="preserve">FR-DASH-03</t>
  </si>
  <si>
    <t xml:space="preserve">Week strip with counts</t>
  </si>
  <si>
    <t xml:space="preserve">Select day shows hearings</t>
  </si>
  <si>
    <t xml:space="preserve">FR-DASH-04</t>
  </si>
  <si>
    <t xml:space="preserve">Quick actions</t>
  </si>
  <si>
    <t xml:space="preserve">Open correct flows</t>
  </si>
  <si>
    <t xml:space="preserve">FR-DASH-05</t>
  </si>
  <si>
    <t xml:space="preserve">Pull to refresh, cached data</t>
  </si>
  <si>
    <t xml:space="preserve">Instant from cache under 60 s</t>
  </si>
  <si>
    <t xml:space="preserve">FR-CASE-01</t>
  </si>
  <si>
    <t xml:space="preserve">4-step add case form + review</t>
  </si>
  <si>
    <t xml:space="preserve">Draft auto-saved</t>
  </si>
  <si>
    <t xml:space="preserve">FR-CASE-02</t>
  </si>
  <si>
    <t xml:space="preserve">Required: title/parties, type, court, side, client</t>
  </si>
  <si>
    <t xml:space="preserve">Inline validation on blur</t>
  </si>
  <si>
    <t xml:space="preserve">FR-CASE-03</t>
  </si>
  <si>
    <t xml:space="preserve">Optional fields incl. CNR</t>
  </si>
  <si>
    <t xml:space="preserve">CNR = 16 alphanumeric</t>
  </si>
  <si>
    <t xml:space="preserve">FR-CASE-04</t>
  </si>
  <si>
    <t xml:space="preserve">Next date at creation</t>
  </si>
  <si>
    <t xml:space="preserve">Creates first hearing; past date warns</t>
  </si>
  <si>
    <t xml:space="preserve">FR-CASE-05</t>
  </si>
  <si>
    <t xml:space="preserve">Auto title 'Petitioner v. Respondent'</t>
  </si>
  <si>
    <t xml:space="preserve">Editable</t>
  </si>
  <si>
    <t xml:space="preserve">FR-CASE-06</t>
  </si>
  <si>
    <t xml:space="preserve">Save and add another</t>
  </si>
  <si>
    <t xml:space="preserve">Keeps court and type</t>
  </si>
  <si>
    <t xml:space="preserve">FR-CASE-07</t>
  </si>
  <si>
    <t xml:space="preserve">Infinite list sorted by next date</t>
  </si>
  <si>
    <t xml:space="preserve">Overdue pinned on top</t>
  </si>
  <si>
    <t xml:space="preserve">FR-CASE-08</t>
  </si>
  <si>
    <t xml:space="preserve">Search title, no., CNR, party, client, court</t>
  </si>
  <si>
    <t xml:space="preserve">Under 500 ms</t>
  </si>
  <si>
    <t xml:space="preserve">FR-CASE-09</t>
  </si>
  <si>
    <t xml:space="preserve">Combinable filters</t>
  </si>
  <si>
    <t xml:space="preserve">Count on filter button, Clear all</t>
  </si>
  <si>
    <t xml:space="preserve">FR-CASE-10</t>
  </si>
  <si>
    <t xml:space="preserve">Persisted per device</t>
  </si>
  <si>
    <t xml:space="preserve">FR-CASE-11</t>
  </si>
  <si>
    <t xml:space="preserve">Case detail</t>
  </si>
  <si>
    <t xml:space="preserve">Cache first, then refresh</t>
  </si>
  <si>
    <t xml:space="preserve">FR-CASE-12</t>
  </si>
  <si>
    <t xml:space="preserve">Call / WhatsApp client, copy numbers</t>
  </si>
  <si>
    <t xml:space="preserve">wa.me deep link</t>
  </si>
  <si>
    <t xml:space="preserve">FR-CASE-13</t>
  </si>
  <si>
    <t xml:space="preserve">Disposed requires date + result</t>
  </si>
  <si>
    <t xml:space="preserve">FR-CASE-14</t>
  </si>
  <si>
    <t xml:space="preserve">Archive / restore</t>
  </si>
  <si>
    <t xml:space="preserve">archived_at flag</t>
  </si>
  <si>
    <t xml:space="preserve">FR-CASE-15</t>
  </si>
  <si>
    <t xml:space="preserve">Delete with typed confirmation</t>
  </si>
  <si>
    <t xml:space="preserve">Soft delete 30 days</t>
  </si>
  <si>
    <t xml:space="preserve">FR-CASE-16</t>
  </si>
  <si>
    <t xml:space="preserve">Share case summary</t>
  </si>
  <si>
    <t xml:space="preserve">Native share sheet</t>
  </si>
  <si>
    <t xml:space="preserve">FR-HEAR-01</t>
  </si>
  <si>
    <t xml:space="preserve">Add hearing</t>
  </si>
  <si>
    <t xml:space="preserve">Updates next_hearing_at</t>
  </si>
  <si>
    <t xml:space="preserve">FR-HEAR-02</t>
  </si>
  <si>
    <t xml:space="preserve">Update outcome from 3 entry points</t>
  </si>
  <si>
    <t xml:space="preserve">Sheet pre-filled</t>
  </si>
  <si>
    <t xml:space="preserve">FR-HEAR-03</t>
  </si>
  <si>
    <t xml:space="preserve">Outcome chips + notes</t>
  </si>
  <si>
    <t xml:space="preserve">One tap select</t>
  </si>
  <si>
    <t xml:space="preserve">FR-HEAR-04</t>
  </si>
  <si>
    <t xml:space="preserve">Next date with quick chips</t>
  </si>
  <si>
    <t xml:space="preserve">Atomic API call</t>
  </si>
  <si>
    <t xml:space="preserve">FR-HEAR-05</t>
  </si>
  <si>
    <t xml:space="preserve">Disposed outcome prompts status change</t>
  </si>
  <si>
    <t xml:space="preserve">Opens SCR-26</t>
  </si>
  <si>
    <t xml:space="preserve">FR-HEAR-06</t>
  </si>
  <si>
    <t xml:space="preserve">Hearing timeline</t>
  </si>
  <si>
    <t xml:space="preserve">Newest on top, Today marker</t>
  </si>
  <si>
    <t xml:space="preserve">FR-HEAR-07</t>
  </si>
  <si>
    <t xml:space="preserve">Needs update flag</t>
  </si>
  <si>
    <t xml:space="preserve">Dashboard warning banner</t>
  </si>
  <si>
    <t xml:space="preserve">FR-CLI-01</t>
  </si>
  <si>
    <t xml:space="preserve">Add client</t>
  </si>
  <si>
    <t xml:space="preserve">Duplicate phone warning</t>
  </si>
  <si>
    <t xml:space="preserve">FR-CLI-02</t>
  </si>
  <si>
    <t xml:space="preserve">Inline create from add case</t>
  </si>
  <si>
    <t xml:space="preserve">Returns selected</t>
  </si>
  <si>
    <t xml:space="preserve">FR-CLI-03</t>
  </si>
  <si>
    <t xml:space="preserve">Many-to-many cases and clients</t>
  </si>
  <si>
    <t xml:space="preserve">case_clients table</t>
  </si>
  <si>
    <t xml:space="preserve">FR-CLI-04</t>
  </si>
  <si>
    <t xml:space="preserve">Client detail with linked cases</t>
  </si>
  <si>
    <t xml:space="preserve">Tap opens case</t>
  </si>
  <si>
    <t xml:space="preserve">FR-CLI-05</t>
  </si>
  <si>
    <t xml:space="preserve">Call, WhatsApp, SMS</t>
  </si>
  <si>
    <t xml:space="preserve">Device intents</t>
  </si>
  <si>
    <t xml:space="preserve">FR-CLI-06</t>
  </si>
  <si>
    <t xml:space="preserve">Delete only without active cases</t>
  </si>
  <si>
    <t xml:space="preserve">Explains why if blocked</t>
  </si>
  <si>
    <t xml:space="preserve">FR-CAL-01</t>
  </si>
  <si>
    <t xml:space="preserve">Month grid with dots</t>
  </si>
  <si>
    <t xml:space="preserve">Fetch by visible month</t>
  </si>
  <si>
    <t xml:space="preserve">FR-CAL-02</t>
  </si>
  <si>
    <t xml:space="preserve">Day list grouped by court</t>
  </si>
  <si>
    <t xml:space="preserve">FR-CAL-03</t>
  </si>
  <si>
    <t xml:space="preserve">Today button, swipe months</t>
  </si>
  <si>
    <t xml:space="preserve">200 ms transition</t>
  </si>
  <si>
    <t xml:space="preserve">FR-NOTIF-01</t>
  </si>
  <si>
    <t xml:space="preserve">Evening digest 8 PM day before</t>
  </si>
  <si>
    <t xml:space="preserve">Configurable, only if count &gt; 0</t>
  </si>
  <si>
    <t xml:space="preserve">FR-NOTIF-02</t>
  </si>
  <si>
    <t xml:space="preserve">Morning digest 8 AM</t>
  </si>
  <si>
    <t xml:space="preserve">Configurable</t>
  </si>
  <si>
    <t xml:space="preserve">FR-NOTIF-03</t>
  </si>
  <si>
    <t xml:space="preserve">6 PM needs-update nudge</t>
  </si>
  <si>
    <t xml:space="preserve">Deep-links to Today</t>
  </si>
  <si>
    <t xml:space="preserve">FR-NOTIF-04</t>
  </si>
  <si>
    <t xml:space="preserve">Deep links from cold start</t>
  </si>
  <si>
    <t xml:space="preserve">Correct screen</t>
  </si>
  <si>
    <t xml:space="preserve">FR-NOTIF-05</t>
  </si>
  <si>
    <t xml:space="preserve">In-app centre, 60 days</t>
  </si>
  <si>
    <t xml:space="preserve">Unread badge</t>
  </si>
  <si>
    <t xml:space="preserve">FR-SET-01</t>
  </si>
  <si>
    <t xml:space="preserve">PATCH /me</t>
  </si>
  <si>
    <t xml:space="preserve">FR-SET-02</t>
  </si>
  <si>
    <t xml:space="preserve">Theme Dark / Light / System</t>
  </si>
  <si>
    <t xml:space="preserve">Instant, no restart</t>
  </si>
  <si>
    <t xml:space="preserve">FR-SET-03</t>
  </si>
  <si>
    <t xml:space="preserve">Hidden kept on old cases</t>
  </si>
  <si>
    <t xml:space="preserve">FR-SET-04</t>
  </si>
  <si>
    <t xml:space="preserve">Notification preferences</t>
  </si>
  <si>
    <t xml:space="preserve">Saved to profile</t>
  </si>
  <si>
    <t xml:space="preserve">FR-SET-05</t>
  </si>
  <si>
    <t xml:space="preserve">Delete account</t>
  </si>
  <si>
    <t xml:space="preserve">Purged within 30 days</t>
  </si>
  <si>
    <t xml:space="preserve">FR-DOC-01</t>
  </si>
  <si>
    <t xml:space="preserve">Upload PDF/images up to 20 MB</t>
  </si>
  <si>
    <t xml:space="preserve">Signed URL, progress</t>
  </si>
  <si>
    <t xml:space="preserve">FR-DOC-02</t>
  </si>
  <si>
    <t xml:space="preserve">Categories</t>
  </si>
  <si>
    <t xml:space="preserve">Filter chips</t>
  </si>
  <si>
    <t xml:space="preserve">FR-DOC-03</t>
  </si>
  <si>
    <t xml:space="preserve">Preview, rename, share, delete</t>
  </si>
  <si>
    <t xml:space="preserve">Pinch zoom</t>
  </si>
  <si>
    <t xml:space="preserve">FR-DOC-04</t>
  </si>
  <si>
    <t xml:space="preserve">Compress images</t>
  </si>
  <si>
    <t xml:space="preserve">Max 2000 px</t>
  </si>
  <si>
    <t xml:space="preserve">FR-DOC-05</t>
  </si>
  <si>
    <t xml:space="preserve">1 GB quota</t>
  </si>
  <si>
    <t xml:space="preserve">Usage bar</t>
  </si>
  <si>
    <t xml:space="preserve">FR-NOTE-01</t>
  </si>
  <si>
    <t xml:space="preserve">Add note</t>
  </si>
  <si>
    <t xml:space="preserve">Auto-save 2 s</t>
  </si>
  <si>
    <t xml:space="preserve">FR-NOTE-02</t>
  </si>
  <si>
    <t xml:space="preserve">Pin up to 3</t>
  </si>
  <si>
    <t xml:space="preserve">Pinned on top</t>
  </si>
  <si>
    <t xml:space="preserve">FR-NOTE-03</t>
  </si>
  <si>
    <t xml:space="preserve">Edit, delete with Undo</t>
  </si>
  <si>
    <t xml:space="preserve">5 s Undo</t>
  </si>
  <si>
    <t xml:space="preserve">FR-NOTE-04</t>
  </si>
  <si>
    <t xml:space="preserve">Searchable</t>
  </si>
  <si>
    <t xml:space="preserve">In global search</t>
  </si>
  <si>
    <t xml:space="preserve">FR-FEE-01</t>
  </si>
  <si>
    <t xml:space="preserve">Agreed fee per case</t>
  </si>
  <si>
    <t xml:space="preserve">INR</t>
  </si>
  <si>
    <t xml:space="preserve">FR-FEE-02</t>
  </si>
  <si>
    <t xml:space="preserve">Record payments</t>
  </si>
  <si>
    <t xml:space="preserve">Balance = agreed - paid</t>
  </si>
  <si>
    <t xml:space="preserve">FR-FEE-03</t>
  </si>
  <si>
    <t xml:space="preserve">Fee summary ring</t>
  </si>
  <si>
    <t xml:space="preserve">grad-success when paid</t>
  </si>
  <si>
    <t xml:space="preserve">FR-FEE-04</t>
  </si>
  <si>
    <t xml:space="preserve">Fees pending stat</t>
  </si>
  <si>
    <t xml:space="preserve">Optional</t>
  </si>
  <si>
    <t xml:space="preserve">FR-TASK-01</t>
  </si>
  <si>
    <t xml:space="preserve">Add task</t>
  </si>
  <si>
    <t xml:space="preserve">Optional case link</t>
  </si>
  <si>
    <t xml:space="preserve">FR-TASK-02</t>
  </si>
  <si>
    <t xml:space="preserve">Check off</t>
  </si>
  <si>
    <t xml:space="preserve">Haptic + strike</t>
  </si>
  <si>
    <t xml:space="preserve">FR-TASK-03</t>
  </si>
  <si>
    <t xml:space="preserve">Overdue in red</t>
  </si>
  <si>
    <t xml:space="preserve">FR-TASK-04</t>
  </si>
  <si>
    <t xml:space="preserve">Due tasks in morning digest</t>
  </si>
  <si>
    <t xml:space="preserve">FR-SRCH-01</t>
  </si>
  <si>
    <t xml:space="preserve">10 recent searches</t>
  </si>
  <si>
    <t xml:space="preserve">FR-SEC-01</t>
  </si>
  <si>
    <t xml:space="preserve">Security</t>
  </si>
  <si>
    <t xml:space="preserve">Biometric / PIN lock</t>
  </si>
  <si>
    <t xml:space="preserve">Lock after 1 min background</t>
  </si>
  <si>
    <t xml:space="preserve">REST API endpoints</t>
  </si>
  <si>
    <t xml:space="preserve">Base URL https://api.vakil.app/api/v1 · Bearer = Supabase access token verified by the Node API</t>
  </si>
  <si>
    <t xml:space="preserve">Method</t>
  </si>
  <si>
    <t xml:space="preserve">Endpoint</t>
  </si>
  <si>
    <t xml:space="preserve">Purpose</t>
  </si>
  <si>
    <t xml:space="preserve">FR ref</t>
  </si>
  <si>
    <t xml:space="preserve">Auth (Bearer)</t>
  </si>
  <si>
    <t xml:space="preserve">Tested</t>
  </si>
  <si>
    <t xml:space="preserve">POST</t>
  </si>
  <si>
    <t xml:space="preserve">/auth/otp/send</t>
  </si>
  <si>
    <t xml:space="preserve">Send OTP</t>
  </si>
  <si>
    <t xml:space="preserve">No</t>
  </si>
  <si>
    <t xml:space="preserve">/auth/otp/verify</t>
  </si>
  <si>
    <t xml:space="preserve">Verify OTP, return session</t>
  </si>
  <si>
    <t xml:space="preserve">/auth/email/sign-in</t>
  </si>
  <si>
    <t xml:space="preserve">Email sign-in</t>
  </si>
  <si>
    <t xml:space="preserve">/auth/refresh</t>
  </si>
  <si>
    <t xml:space="preserve">Refresh token</t>
  </si>
  <si>
    <t xml:space="preserve">/auth/logout</t>
  </si>
  <si>
    <t xml:space="preserve">Logout</t>
  </si>
  <si>
    <t xml:space="preserve">Yes</t>
  </si>
  <si>
    <t xml:space="preserve">GET</t>
  </si>
  <si>
    <t xml:space="preserve">/me</t>
  </si>
  <si>
    <t xml:space="preserve">Get profile</t>
  </si>
  <si>
    <t xml:space="preserve">PATCH</t>
  </si>
  <si>
    <t xml:space="preserve">Update profile, theme, prefs</t>
  </si>
  <si>
    <t xml:space="preserve">FR-ONB-01, FR-SET</t>
  </si>
  <si>
    <t xml:space="preserve">/me/onboarding/complete</t>
  </si>
  <si>
    <t xml:space="preserve">Finish onboarding, seed lists</t>
  </si>
  <si>
    <t xml:space="preserve">DELETE</t>
  </si>
  <si>
    <t xml:space="preserve">/me/devices</t>
  </si>
  <si>
    <t xml:space="preserve">Register push token</t>
  </si>
  <si>
    <t xml:space="preserve">/dashboard</t>
  </si>
  <si>
    <t xml:space="preserve">Dashboard payload</t>
  </si>
  <si>
    <t xml:space="preserve">FR-DASH</t>
  </si>
  <si>
    <t xml:space="preserve">/cases</t>
  </si>
  <si>
    <t xml:space="preserve">List / search / filter cases</t>
  </si>
  <si>
    <t xml:space="preserve">FR-CASE-07..10</t>
  </si>
  <si>
    <t xml:space="preserve">Create case</t>
  </si>
  <si>
    <t xml:space="preserve">FR-CASE-01..06</t>
  </si>
  <si>
    <t xml:space="preserve">/cases/:id</t>
  </si>
  <si>
    <t xml:space="preserve">/cases/:id/status</t>
  </si>
  <si>
    <t xml:space="preserve">/cases/:id/archive</t>
  </si>
  <si>
    <t xml:space="preserve">Archive / unarchive</t>
  </si>
  <si>
    <t xml:space="preserve">Soft delete</t>
  </si>
  <si>
    <t xml:space="preserve">/cases/:id/hearings</t>
  </si>
  <si>
    <t xml:space="preserve">/hearings/:id</t>
  </si>
  <si>
    <t xml:space="preserve">Edit hearing</t>
  </si>
  <si>
    <t xml:space="preserve">/hearings/:id/outcome</t>
  </si>
  <si>
    <t xml:space="preserve">Outcome + next hearing (atomic)</t>
  </si>
  <si>
    <t xml:space="preserve">FR-HEAR-02..05</t>
  </si>
  <si>
    <t xml:space="preserve">Delete hearing</t>
  </si>
  <si>
    <t xml:space="preserve">/hearings</t>
  </si>
  <si>
    <t xml:space="preserve">Range query for calendar/today</t>
  </si>
  <si>
    <t xml:space="preserve">FR-CAL</t>
  </si>
  <si>
    <t xml:space="preserve">/clients</t>
  </si>
  <si>
    <t xml:space="preserve">List / search clients</t>
  </si>
  <si>
    <t xml:space="preserve">Create client</t>
  </si>
  <si>
    <t xml:space="preserve">FR-CLI-01..02</t>
  </si>
  <si>
    <t xml:space="preserve">/clients/:id</t>
  </si>
  <si>
    <t xml:space="preserve">Client + linked cases</t>
  </si>
  <si>
    <t xml:space="preserve">Edit client</t>
  </si>
  <si>
    <t xml:space="preserve">Delete (409 if active cases)</t>
  </si>
  <si>
    <t xml:space="preserve">GET/POST/PATCH</t>
  </si>
  <si>
    <t xml:space="preserve">/courts</t>
  </si>
  <si>
    <t xml:space="preserve">Manage courts</t>
  </si>
  <si>
    <t xml:space="preserve">/case-types</t>
  </si>
  <si>
    <t xml:space="preserve">Manage case types</t>
  </si>
  <si>
    <t xml:space="preserve">/notifications</t>
  </si>
  <si>
    <t xml:space="preserve">Notification list</t>
  </si>
  <si>
    <t xml:space="preserve">/notifications/read</t>
  </si>
  <si>
    <t xml:space="preserve">Mark read</t>
  </si>
  <si>
    <t xml:space="preserve">/search</t>
  </si>
  <si>
    <t xml:space="preserve">Global search (P1)</t>
  </si>
  <si>
    <t xml:space="preserve">GET/POST</t>
  </si>
  <si>
    <t xml:space="preserve">/cases/:id/notes</t>
  </si>
  <si>
    <t xml:space="preserve">Notes (P1)</t>
  </si>
  <si>
    <t xml:space="preserve">FR-NOTE</t>
  </si>
  <si>
    <t xml:space="preserve">PATCH/DELETE</t>
  </si>
  <si>
    <t xml:space="preserve">/notes/:id</t>
  </si>
  <si>
    <t xml:space="preserve">Edit/delete note (P1)</t>
  </si>
  <si>
    <t xml:space="preserve">/cases/:id/documents/upload-url</t>
  </si>
  <si>
    <t xml:space="preserve">Signed upload URL (P1)</t>
  </si>
  <si>
    <t xml:space="preserve">/cases/:id/documents</t>
  </si>
  <si>
    <t xml:space="preserve">Save doc metadata (P1)</t>
  </si>
  <si>
    <t xml:space="preserve">List docs (P1)</t>
  </si>
  <si>
    <t xml:space="preserve">/documents/:id/url</t>
  </si>
  <si>
    <t xml:space="preserve">Signed download URL (P1)</t>
  </si>
  <si>
    <t xml:space="preserve">/documents/:id</t>
  </si>
  <si>
    <t xml:space="preserve">Rename/delete doc (P1)</t>
  </si>
  <si>
    <t xml:space="preserve">GET/PUT</t>
  </si>
  <si>
    <t xml:space="preserve">/cases/:id/fee</t>
  </si>
  <si>
    <t xml:space="preserve">Agreed fee + summary (P1)</t>
  </si>
  <si>
    <t xml:space="preserve">/cases/:id/payments</t>
  </si>
  <si>
    <t xml:space="preserve">Add payment (P1)</t>
  </si>
  <si>
    <t xml:space="preserve">/payments/:id</t>
  </si>
  <si>
    <t xml:space="preserve">Edit/delete payment (P1)</t>
  </si>
  <si>
    <t xml:space="preserve">/tasks</t>
  </si>
  <si>
    <t xml:space="preserve">Tasks (P1)</t>
  </si>
  <si>
    <t xml:space="preserve">FR-TASK</t>
  </si>
  <si>
    <t xml:space="preserve">/tasks/:id</t>
  </si>
  <si>
    <t xml:space="preserve">Edit/delete task (P1)</t>
  </si>
  <si>
    <t xml:space="preserve">Supabase schema</t>
  </si>
  <si>
    <t xml:space="preserve">Postgres. Every table also has id uuid PK, advocate_id, created_at, updated_at.</t>
  </si>
  <si>
    <t xml:space="preserve">Table</t>
  </si>
  <si>
    <t xml:space="preserve">Column(s)</t>
  </si>
  <si>
    <t xml:space="preserve">Constraint / values</t>
  </si>
  <si>
    <t xml:space="preserve">Migration status</t>
  </si>
  <si>
    <t xml:space="preserve">advocates</t>
  </si>
  <si>
    <t xml:space="preserve">id</t>
  </si>
  <si>
    <t xml:space="preserve">uuid</t>
  </si>
  <si>
    <t xml:space="preserve">PK, = auth.users.id</t>
  </si>
  <si>
    <t xml:space="preserve">The only entity</t>
  </si>
  <si>
    <t xml:space="preserve">full_name / phone / email</t>
  </si>
  <si>
    <t xml:space="preserve">text</t>
  </si>
  <si>
    <t xml:space="preserve">enrolment_no</t>
  </si>
  <si>
    <t xml:space="preserve">nullable</t>
  </si>
  <si>
    <t xml:space="preserve">Bar Council enrolment</t>
  </si>
  <si>
    <t xml:space="preserve">practice_areas</t>
  </si>
  <si>
    <t xml:space="preserve">text[]</t>
  </si>
  <si>
    <t xml:space="preserve">theme</t>
  </si>
  <si>
    <t xml:space="preserve">dark | light | system, default dark</t>
  </si>
  <si>
    <t xml:space="preserve">notification_prefs</t>
  </si>
  <si>
    <t xml:space="preserve">jsonb</t>
  </si>
  <si>
    <t xml:space="preserve">evening/morning times, toggles</t>
  </si>
  <si>
    <t xml:space="preserve">onboarded_at</t>
  </si>
  <si>
    <t xml:space="preserve">timestamptz</t>
  </si>
  <si>
    <t xml:space="preserve">courts</t>
  </si>
  <si>
    <t xml:space="preserve">name, short_name, city, district, state</t>
  </si>
  <si>
    <t xml:space="preserve">Seeded per advocate</t>
  </si>
  <si>
    <t xml:space="preserve">sort_order / is_hidden</t>
  </si>
  <si>
    <t xml:space="preserve">int / bool</t>
  </si>
  <si>
    <t xml:space="preserve">case_types</t>
  </si>
  <si>
    <t xml:space="preserve">name, sort_order, is_hidden</t>
  </si>
  <si>
    <t xml:space="preserve">text / int / bool</t>
  </si>
  <si>
    <t xml:space="preserve">Seeded, editable</t>
  </si>
  <si>
    <t xml:space="preserve">clients</t>
  </si>
  <si>
    <t xml:space="preserve">full_name, phone, alt_phone, email, address, notes</t>
  </si>
  <si>
    <t xml:space="preserve">unique (advocate_id, phone)</t>
  </si>
  <si>
    <t xml:space="preserve">cases</t>
  </si>
  <si>
    <t xml:space="preserve">title, case_number, case_year, cnr_number</t>
  </si>
  <si>
    <t xml:space="preserve">text / int</t>
  </si>
  <si>
    <t xml:space="preserve">cnr 16 chars</t>
  </si>
  <si>
    <t xml:space="preserve">case_type_id, court_id</t>
  </si>
  <si>
    <t xml:space="preserve">FK</t>
  </si>
  <si>
    <t xml:space="preserve">court_room, judge_name, filing_date</t>
  </si>
  <si>
    <t xml:space="preserve">text / date</t>
  </si>
  <si>
    <t xml:space="preserve">our_side</t>
  </si>
  <si>
    <t xml:space="preserve">petitioner | respondent | complainant | accused | appellant | other</t>
  </si>
  <si>
    <t xml:space="preserve">petitioner_name, respondent_name, opposite_counsel</t>
  </si>
  <si>
    <t xml:space="preserve">stage</t>
  </si>
  <si>
    <t xml:space="preserve">status</t>
  </si>
  <si>
    <t xml:space="preserve">active | reserved | disposed | closed</t>
  </si>
  <si>
    <t xml:space="preserve">disposal_date, disposal_result</t>
  </si>
  <si>
    <t xml:space="preserve">date / text</t>
  </si>
  <si>
    <t xml:space="preserve">priority</t>
  </si>
  <si>
    <t xml:space="preserve">normal | high | urgent</t>
  </si>
  <si>
    <t xml:space="preserve">next_hearing_at, last_hearing_at</t>
  </si>
  <si>
    <t xml:space="preserve">date</t>
  </si>
  <si>
    <t xml:space="preserve">denormalized, indexed</t>
  </si>
  <si>
    <t xml:space="preserve">Maintained by trigger/API</t>
  </si>
  <si>
    <t xml:space="preserve">archived_at, deleted_at</t>
  </si>
  <si>
    <t xml:space="preserve">Soft flags</t>
  </si>
  <si>
    <t xml:space="preserve">case_clients</t>
  </si>
  <si>
    <t xml:space="preserve">case_id, client_id, role</t>
  </si>
  <si>
    <t xml:space="preserve">uuid / text</t>
  </si>
  <si>
    <t xml:space="preserve">PK (case_id, client_id)</t>
  </si>
  <si>
    <t xml:space="preserve">Many-to-many</t>
  </si>
  <si>
    <t xml:space="preserve">hearings</t>
  </si>
  <si>
    <t xml:space="preserve">case_id, hearing_date, hearing_time</t>
  </si>
  <si>
    <t xml:space="preserve">uuid / date / time</t>
  </si>
  <si>
    <t xml:space="preserve">index (advocate_id, hearing_date)</t>
  </si>
  <si>
    <t xml:space="preserve">purpose, court_room</t>
  </si>
  <si>
    <t xml:space="preserve">outcome</t>
  </si>
  <si>
    <t xml:space="preserve">adjourned | heard | arguments_done | evidence | reserved | disposed | not_reached | other</t>
  </si>
  <si>
    <t xml:space="preserve">outcome_notes, next_hearing_id, completed_at</t>
  </si>
  <si>
    <t xml:space="preserve">text / uuid / timestamptz</t>
  </si>
  <si>
    <t xml:space="preserve">notes</t>
  </si>
  <si>
    <t xml:space="preserve">case_id, title, body, is_pinned, deleted_at</t>
  </si>
  <si>
    <t xml:space="preserve">documents</t>
  </si>
  <si>
    <t xml:space="preserve">case_id, file_name, category, mime_type, size_bytes, storage_path</t>
  </si>
  <si>
    <t xml:space="preserve">P1, bucket case-docs</t>
  </si>
  <si>
    <t xml:space="preserve">fees</t>
  </si>
  <si>
    <t xml:space="preserve">case_id, agreed_amount</t>
  </si>
  <si>
    <t xml:space="preserve">uuid / numeric(12,2)</t>
  </si>
  <si>
    <t xml:space="preserve">one per case</t>
  </si>
  <si>
    <t xml:space="preserve">payments</t>
  </si>
  <si>
    <t xml:space="preserve">case_id, amount, paid_on, mode, note</t>
  </si>
  <si>
    <t xml:space="preserve">numeric / date / text</t>
  </si>
  <si>
    <t xml:space="preserve">mode: cash | upi | bank | cheque</t>
  </si>
  <si>
    <t xml:space="preserve">tasks</t>
  </si>
  <si>
    <t xml:space="preserve">case_id, title, due_date, completed_at</t>
  </si>
  <si>
    <t xml:space="preserve">case_id nullable</t>
  </si>
  <si>
    <t xml:space="preserve">notifications</t>
  </si>
  <si>
    <t xml:space="preserve">type, title, body, deep_link, read_at, sent_at</t>
  </si>
  <si>
    <t xml:space="preserve">60-day retention</t>
  </si>
  <si>
    <t xml:space="preserve">device_tokens</t>
  </si>
  <si>
    <t xml:space="preserve">expo_push_token, platform, last_seen_at</t>
  </si>
  <si>
    <t xml:space="preserve">ALL TABLES</t>
  </si>
  <si>
    <t xml:space="preserve">advocate_id, created_at, updated_at</t>
  </si>
  <si>
    <t xml:space="preserve">uuid / timestamptz</t>
  </si>
  <si>
    <t xml:space="preserve">RLS: advocate_id = auth.uid()</t>
  </si>
  <si>
    <t xml:space="preserve">Every table</t>
  </si>
  <si>
    <t xml:space="preserve">Design tokens</t>
  </si>
  <si>
    <t xml:space="preserve">Column C/D: dark value / light value for semantic tokens; start / end stops for gradients. Swatches are filled.</t>
  </si>
  <si>
    <t xml:space="preserve">Token</t>
  </si>
  <si>
    <t xml:space="preserve">Value (dark / start)</t>
  </si>
  <si>
    <t xml:space="preserve">Value (light / end)</t>
  </si>
  <si>
    <t xml:space="preserve">Primary</t>
  </si>
  <si>
    <t xml:space="preserve">blue-50</t>
  </si>
  <si>
    <t xml:space="preserve">#EEF4FF</t>
  </si>
  <si>
    <t xml:space="preserve">blue-100</t>
  </si>
  <si>
    <t xml:space="preserve">#DCE7FF</t>
  </si>
  <si>
    <t xml:space="preserve">blue-200</t>
  </si>
  <si>
    <t xml:space="preserve">#BCD2FF</t>
  </si>
  <si>
    <t xml:space="preserve">blue-300</t>
  </si>
  <si>
    <t xml:space="preserve">#8EB3FF</t>
  </si>
  <si>
    <t xml:space="preserve">blue-400</t>
  </si>
  <si>
    <t xml:space="preserve">#5B8CFF</t>
  </si>
  <si>
    <t xml:space="preserve">blue-500</t>
  </si>
  <si>
    <t xml:space="preserve">#3366FF</t>
  </si>
  <si>
    <t xml:space="preserve">Dark primary</t>
  </si>
  <si>
    <t xml:space="preserve">blue-600</t>
  </si>
  <si>
    <t xml:space="preserve">#2350E6</t>
  </si>
  <si>
    <t xml:space="preserve">Light primary</t>
  </si>
  <si>
    <t xml:space="preserve">blue-700</t>
  </si>
  <si>
    <t xml:space="preserve">#1C3FC0</t>
  </si>
  <si>
    <t xml:space="preserve">blue-800</t>
  </si>
  <si>
    <t xml:space="preserve">#1B3699</t>
  </si>
  <si>
    <t xml:space="preserve">blue-900</t>
  </si>
  <si>
    <t xml:space="preserve">#1B3279</t>
  </si>
  <si>
    <t xml:space="preserve">blue-950</t>
  </si>
  <si>
    <t xml:space="preserve">#121F4A</t>
  </si>
  <si>
    <t xml:space="preserve">Neutral</t>
  </si>
  <si>
    <t xml:space="preserve">ink-0</t>
  </si>
  <si>
    <t xml:space="preserve">#FFFFFF</t>
  </si>
  <si>
    <t xml:space="preserve">ink-50</t>
  </si>
  <si>
    <t xml:space="preserve">#F6F8FC</t>
  </si>
  <si>
    <t xml:space="preserve">ink-100</t>
  </si>
  <si>
    <t xml:space="preserve">#EDF1F8</t>
  </si>
  <si>
    <t xml:space="preserve">ink-200</t>
  </si>
  <si>
    <t xml:space="preserve">#DCE3EF</t>
  </si>
  <si>
    <t xml:space="preserve">ink-300</t>
  </si>
  <si>
    <t xml:space="preserve">#BCC7DA</t>
  </si>
  <si>
    <t xml:space="preserve">ink-400</t>
  </si>
  <si>
    <t xml:space="preserve">#8C9AB3</t>
  </si>
  <si>
    <t xml:space="preserve">ink-500</t>
  </si>
  <si>
    <t xml:space="preserve">#64728C</t>
  </si>
  <si>
    <t xml:space="preserve">ink-600</t>
  </si>
  <si>
    <t xml:space="preserve">#475570</t>
  </si>
  <si>
    <t xml:space="preserve">ink-700</t>
  </si>
  <si>
    <t xml:space="preserve">#2E3A52</t>
  </si>
  <si>
    <t xml:space="preserve">ink-800</t>
  </si>
  <si>
    <t xml:space="preserve">#1C2538</t>
  </si>
  <si>
    <t xml:space="preserve">ink-900</t>
  </si>
  <si>
    <t xml:space="preserve">#121A2B</t>
  </si>
  <si>
    <t xml:space="preserve">ink-950</t>
  </si>
  <si>
    <t xml:space="preserve">#0A101D</t>
  </si>
  <si>
    <t xml:space="preserve">Semantic</t>
  </si>
  <si>
    <t xml:space="preserve">bg</t>
  </si>
  <si>
    <t xml:space="preserve">surface</t>
  </si>
  <si>
    <t xml:space="preserve">surface-2</t>
  </si>
  <si>
    <t xml:space="preserve">border</t>
  </si>
  <si>
    <t xml:space="preserve">border-strong</t>
  </si>
  <si>
    <t xml:space="preserve">text-2</t>
  </si>
  <si>
    <t xml:space="preserve">text-3</t>
  </si>
  <si>
    <t xml:space="preserve">primary</t>
  </si>
  <si>
    <t xml:space="preserve">primary-pressed</t>
  </si>
  <si>
    <t xml:space="preserve">primary-subtle</t>
  </si>
  <si>
    <t xml:space="preserve">Status</t>
  </si>
  <si>
    <t xml:space="preserve">success</t>
  </si>
  <si>
    <t xml:space="preserve">#22C55E</t>
  </si>
  <si>
    <t xml:space="preserve">bg dark #0F2A1C / light #E8F8EE</t>
  </si>
  <si>
    <t xml:space="preserve">warning</t>
  </si>
  <si>
    <t xml:space="preserve">#F59E0B</t>
  </si>
  <si>
    <t xml:space="preserve">bg dark #2E2209 / light #FEF4E2</t>
  </si>
  <si>
    <t xml:space="preserve">error</t>
  </si>
  <si>
    <t xml:space="preserve">#EF4444</t>
  </si>
  <si>
    <t xml:space="preserve">bg dark #2F1316 / light #FDECEC</t>
  </si>
  <si>
    <t xml:space="preserve">info</t>
  </si>
  <si>
    <t xml:space="preserve">#0EA5E9</t>
  </si>
  <si>
    <t xml:space="preserve">bg dark #0B2533 / light #E6F6FD</t>
  </si>
  <si>
    <t xml:space="preserve">adjourned</t>
  </si>
  <si>
    <t xml:space="preserve">#8B5CF6</t>
  </si>
  <si>
    <t xml:space="preserve">bg dark #221A3D / light #F1ECFE</t>
  </si>
  <si>
    <t xml:space="preserve">Gradient</t>
  </si>
  <si>
    <t xml:space="preserve">grad-primary</t>
  </si>
  <si>
    <t xml:space="preserve">#6A4CFF</t>
  </si>
  <si>
    <t xml:space="preserve">135 deg</t>
  </si>
  <si>
    <t xml:space="preserve">grad-hero</t>
  </si>
  <si>
    <t xml:space="preserve">#4FA3FF</t>
  </si>
  <si>
    <t xml:space="preserve">135 deg, mid #3366FF</t>
  </si>
  <si>
    <t xml:space="preserve">grad-success</t>
  </si>
  <si>
    <t xml:space="preserve">#16A34A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</si>
</sst>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1A2B"/>
      <name val="Arial"/>
      <family val="0"/>
      <charset val="1"/>
    </font>
    <font>
      <sz val="10"/>
      <color rgb="FF64728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21A2B"/>
      <name val="Arial"/>
      <family val="0"/>
      <charset val="1"/>
    </font>
    <font>
      <sz val="10"/>
      <color rgb="FF121A2B"/>
      <name val="Arial"/>
      <family val="0"/>
      <charset val="1"/>
    </font>
  </fonts>
  <fills count="34">
    <fill>
      <patternFill patternType="none"/>
    </fill>
    <fill>
      <patternFill patternType="gray125"/>
    </fill>
    <fill>
      <patternFill patternType="solid">
        <fgColor rgb="FF2350E6"/>
        <bgColor rgb="FF1C3FC0"/>
      </patternFill>
    </fill>
    <fill>
      <patternFill patternType="solid">
        <fgColor rgb="FFF6F8FC"/>
        <bgColor rgb="FFEEF4FF"/>
      </patternFill>
    </fill>
    <fill>
      <patternFill patternType="solid">
        <fgColor rgb="FFFFF9DB"/>
        <bgColor rgb="FFFDECEC"/>
      </patternFill>
    </fill>
    <fill>
      <patternFill patternType="solid">
        <fgColor rgb="FFEEF4FF"/>
        <bgColor rgb="FFEDF1F8"/>
      </patternFill>
    </fill>
    <fill>
      <patternFill patternType="solid">
        <fgColor rgb="FFDCE7FF"/>
        <bgColor rgb="FFDCE3EF"/>
      </patternFill>
    </fill>
    <fill>
      <patternFill patternType="solid">
        <fgColor rgb="FFBCD2FF"/>
        <bgColor rgb="FFBCC7DA"/>
      </patternFill>
    </fill>
    <fill>
      <patternFill patternType="solid">
        <fgColor rgb="FF8EB3FF"/>
        <bgColor rgb="FF8C9AB3"/>
      </patternFill>
    </fill>
    <fill>
      <patternFill patternType="solid">
        <fgColor rgb="FF5B8CFF"/>
        <bgColor rgb="FF4FA3FF"/>
      </patternFill>
    </fill>
    <fill>
      <patternFill patternType="solid">
        <fgColor rgb="FF3366FF"/>
        <bgColor rgb="FF2350E6"/>
      </patternFill>
    </fill>
    <fill>
      <patternFill patternType="solid">
        <fgColor rgb="FF1C3FC0"/>
        <bgColor rgb="FF1B3699"/>
      </patternFill>
    </fill>
    <fill>
      <patternFill patternType="solid">
        <fgColor rgb="FF1B3699"/>
        <bgColor rgb="FF1B3279"/>
      </patternFill>
    </fill>
    <fill>
      <patternFill patternType="solid">
        <fgColor rgb="FF1B3279"/>
        <bgColor rgb="FF1B3699"/>
      </patternFill>
    </fill>
    <fill>
      <patternFill patternType="solid">
        <fgColor rgb="FF121F4A"/>
        <bgColor rgb="FF1C2538"/>
      </patternFill>
    </fill>
    <fill>
      <patternFill patternType="solid">
        <fgColor rgb="FFFFFFFF"/>
        <bgColor rgb="FFF6F8FC"/>
      </patternFill>
    </fill>
    <fill>
      <patternFill patternType="solid">
        <fgColor rgb="FFEDF1F8"/>
        <bgColor rgb="FFEEF4FF"/>
      </patternFill>
    </fill>
    <fill>
      <patternFill patternType="solid">
        <fgColor rgb="FFDCE3EF"/>
        <bgColor rgb="FFDCE7FF"/>
      </patternFill>
    </fill>
    <fill>
      <patternFill patternType="solid">
        <fgColor rgb="FFBCC7DA"/>
        <bgColor rgb="FFBCD2FF"/>
      </patternFill>
    </fill>
    <fill>
      <patternFill patternType="solid">
        <fgColor rgb="FF8C9AB3"/>
        <bgColor rgb="FF8EB3FF"/>
      </patternFill>
    </fill>
    <fill>
      <patternFill patternType="solid">
        <fgColor rgb="FF64728C"/>
        <bgColor rgb="FF475570"/>
      </patternFill>
    </fill>
    <fill>
      <patternFill patternType="solid">
        <fgColor rgb="FF475570"/>
        <bgColor rgb="FF2E3A52"/>
      </patternFill>
    </fill>
    <fill>
      <patternFill patternType="solid">
        <fgColor rgb="FF2E3A52"/>
        <bgColor rgb="FF1B3279"/>
      </patternFill>
    </fill>
    <fill>
      <patternFill patternType="solid">
        <fgColor rgb="FF1C2538"/>
        <bgColor rgb="FF121F4A"/>
      </patternFill>
    </fill>
    <fill>
      <patternFill patternType="solid">
        <fgColor rgb="FF121A2B"/>
        <bgColor rgb="FF0A101D"/>
      </patternFill>
    </fill>
    <fill>
      <patternFill patternType="solid">
        <fgColor rgb="FF0A101D"/>
        <bgColor rgb="FF121A2B"/>
      </patternFill>
    </fill>
    <fill>
      <patternFill patternType="solid">
        <fgColor rgb="FF22C55E"/>
        <bgColor rgb="FF16A34A"/>
      </patternFill>
    </fill>
    <fill>
      <patternFill patternType="solid">
        <fgColor rgb="FFF59E0B"/>
        <bgColor rgb="FFFFCC00"/>
      </patternFill>
    </fill>
    <fill>
      <patternFill patternType="solid">
        <fgColor rgb="FFEF4444"/>
        <bgColor rgb="FFFF8080"/>
      </patternFill>
    </fill>
    <fill>
      <patternFill patternType="solid">
        <fgColor rgb="FF0EA5E9"/>
        <bgColor rgb="FF4FA3FF"/>
      </patternFill>
    </fill>
    <fill>
      <patternFill patternType="solid">
        <fgColor rgb="FF8B5CF6"/>
        <bgColor rgb="FF6A4CFF"/>
      </patternFill>
    </fill>
    <fill>
      <patternFill patternType="solid">
        <fgColor rgb="FF6A4CFF"/>
        <bgColor rgb="FF8B5CF6"/>
      </patternFill>
    </fill>
    <fill>
      <patternFill patternType="solid">
        <fgColor rgb="FF4FA3FF"/>
        <bgColor rgb="FF5B8CFF"/>
      </patternFill>
    </fill>
    <fill>
      <patternFill patternType="solid">
        <fgColor rgb="FF16A34A"/>
        <bgColor rgb="FF22C55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3EF"/>
      </left>
      <right style="thin">
        <color rgb="FFDCE3EF"/>
      </right>
      <top style="thin">
        <color rgb="FFDCE3EF"/>
      </top>
      <bottom style="thin">
        <color rgb="FFDCE3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8">
    <dxf>
      <fill>
        <patternFill patternType="solid">
          <fgColor rgb="FF2350E6"/>
          <bgColor rgb="FF000000"/>
        </patternFill>
      </fill>
    </dxf>
    <dxf>
      <fill>
        <patternFill patternType="solid">
          <fgColor rgb="FFF6F8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21A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7F5E3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DCE7FF"/>
          <bgColor rgb="FF000000"/>
        </patternFill>
      </fill>
    </dxf>
    <dxf>
      <fill>
        <patternFill>
          <bgColor rgb="FFD7F5E3"/>
        </patternFill>
      </fill>
    </dxf>
    <dxf>
      <fill>
        <patternFill>
          <bgColor rgb="FFDCE7FF"/>
        </patternFill>
      </fill>
    </dxf>
    <dxf>
      <fill>
        <patternFill>
          <bgColor rgb="FFF1ECFE"/>
        </patternFill>
      </fill>
    </dxf>
    <dxf>
      <fill>
        <patternFill>
          <bgColor rgb="FFFDECEC"/>
        </patternFill>
      </fill>
    </dxf>
    <dxf>
      <fill>
        <patternFill patternType="solid">
          <fgColor rgb="FF0A101D"/>
          <bgColor rgb="FF000000"/>
        </patternFill>
      </fill>
    </dxf>
    <dxf>
      <fill>
        <patternFill patternType="solid">
          <fgColor rgb="FF0EA5E9"/>
          <bgColor rgb="FF000000"/>
        </patternFill>
      </fill>
    </dxf>
    <dxf>
      <fill>
        <patternFill patternType="solid">
          <fgColor rgb="FF121F4A"/>
          <bgColor rgb="FF000000"/>
        </patternFill>
      </fill>
    </dxf>
    <dxf>
      <fill>
        <patternFill patternType="solid">
          <fgColor rgb="FF16A34A"/>
          <bgColor rgb="FF000000"/>
        </patternFill>
      </fill>
    </dxf>
    <dxf>
      <fill>
        <patternFill patternType="solid">
          <fgColor rgb="FF1B3279"/>
          <bgColor rgb="FF000000"/>
        </patternFill>
      </fill>
    </dxf>
    <dxf>
      <fill>
        <patternFill patternType="solid">
          <fgColor rgb="FF1B3699"/>
          <bgColor rgb="FF000000"/>
        </patternFill>
      </fill>
    </dxf>
    <dxf>
      <fill>
        <patternFill patternType="solid">
          <fgColor rgb="FF1C2538"/>
          <bgColor rgb="FF000000"/>
        </patternFill>
      </fill>
    </dxf>
    <dxf>
      <fill>
        <patternFill patternType="solid">
          <fgColor rgb="FF1C3FC0"/>
          <bgColor rgb="FF000000"/>
        </patternFill>
      </fill>
    </dxf>
    <dxf>
      <fill>
        <patternFill patternType="solid">
          <fgColor rgb="FF22C55E"/>
          <bgColor rgb="FF000000"/>
        </patternFill>
      </fill>
    </dxf>
    <dxf>
      <fill>
        <patternFill patternType="solid">
          <fgColor rgb="FF2E3A52"/>
          <bgColor rgb="FF000000"/>
        </patternFill>
      </fill>
    </dxf>
    <dxf>
      <fill>
        <patternFill patternType="solid">
          <fgColor rgb="FF3366FF"/>
          <bgColor rgb="FF000000"/>
        </patternFill>
      </fill>
    </dxf>
    <dxf>
      <fill>
        <patternFill patternType="solid">
          <fgColor rgb="FF475570"/>
          <bgColor rgb="FF000000"/>
        </patternFill>
      </fill>
    </dxf>
    <dxf>
      <fill>
        <patternFill patternType="solid">
          <fgColor rgb="FF5B8CFF"/>
          <bgColor rgb="FF000000"/>
        </patternFill>
      </fill>
    </dxf>
    <dxf>
      <fill>
        <patternFill patternType="solid">
          <fgColor rgb="FF64728C"/>
          <bgColor rgb="FF000000"/>
        </patternFill>
      </fill>
    </dxf>
    <dxf>
      <fill>
        <patternFill patternType="solid">
          <fgColor rgb="FF8B5CF6"/>
          <bgColor rgb="FF000000"/>
        </patternFill>
      </fill>
    </dxf>
    <dxf>
      <fill>
        <patternFill patternType="solid">
          <fgColor rgb="FF8C9AB3"/>
          <bgColor rgb="FF000000"/>
        </patternFill>
      </fill>
    </dxf>
    <dxf>
      <fill>
        <patternFill patternType="solid">
          <fgColor rgb="FF8EB3FF"/>
          <bgColor rgb="FF000000"/>
        </patternFill>
      </fill>
    </dxf>
    <dxf>
      <fill>
        <patternFill patternType="solid">
          <fgColor rgb="FFBCC7DA"/>
          <bgColor rgb="FF000000"/>
        </patternFill>
      </fill>
    </dxf>
    <dxf>
      <fill>
        <patternFill patternType="solid">
          <fgColor rgb="FFBCD2FF"/>
          <bgColor rgb="FF000000"/>
        </patternFill>
      </fill>
    </dxf>
    <dxf>
      <fill>
        <patternFill patternType="solid">
          <fgColor rgb="FFDCE3EF"/>
          <bgColor rgb="FF000000"/>
        </patternFill>
      </fill>
    </dxf>
    <dxf>
      <fill>
        <patternFill patternType="solid">
          <fgColor rgb="FFEDF1F8"/>
          <bgColor rgb="FF000000"/>
        </patternFill>
      </fill>
    </dxf>
    <dxf>
      <fill>
        <patternFill patternType="solid">
          <fgColor rgb="FFEEF4FF"/>
          <bgColor rgb="FF000000"/>
        </patternFill>
      </fill>
    </dxf>
    <dxf>
      <fill>
        <patternFill patternType="solid">
          <fgColor rgb="FFEF4444"/>
          <bgColor rgb="FF000000"/>
        </patternFill>
      </fill>
    </dxf>
    <dxf>
      <fill>
        <patternFill patternType="solid">
          <fgColor rgb="FFF59E0B"/>
          <bgColor rgb="FF000000"/>
        </patternFill>
      </fill>
    </dxf>
    <dxf>
      <fill>
        <patternFill patternType="solid">
          <fgColor rgb="FF4FA3FF"/>
          <bgColor rgb="FF000000"/>
        </patternFill>
      </fill>
    </dxf>
    <dxf>
      <fill>
        <patternFill patternType="solid">
          <fgColor rgb="FF6A4C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1C3FC0"/>
      <rgbColor rgb="FFF6F8FC"/>
      <rgbColor rgb="FFFF00FF"/>
      <rgbColor rgb="FF00FFFF"/>
      <rgbColor rgb="FF800000"/>
      <rgbColor rgb="FF008000"/>
      <rgbColor rgb="FF121F4A"/>
      <rgbColor rgb="FF808000"/>
      <rgbColor rgb="FF800080"/>
      <rgbColor rgb="FF4FA3FF"/>
      <rgbColor rgb="FFBCC7DA"/>
      <rgbColor rgb="FF475570"/>
      <rgbColor rgb="FF5B8CFF"/>
      <rgbColor rgb="FF8B5CF6"/>
      <rgbColor rgb="FFFFF9DB"/>
      <rgbColor rgb="FFDCE7FF"/>
      <rgbColor rgb="FF660066"/>
      <rgbColor rgb="FFFF8080"/>
      <rgbColor rgb="FF2350E6"/>
      <rgbColor rgb="FFBCD2FF"/>
      <rgbColor rgb="FF0A101D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EEF4FF"/>
      <rgbColor rgb="FFD7F5E3"/>
      <rgbColor rgb="FFFDECEC"/>
      <rgbColor rgb="FF8EB3FF"/>
      <rgbColor rgb="FFF1ECFE"/>
      <rgbColor rgb="FFEDF1F8"/>
      <rgbColor rgb="FFDCE3EF"/>
      <rgbColor rgb="FF3366FF"/>
      <rgbColor rgb="FF22C55E"/>
      <rgbColor rgb="FF99CC00"/>
      <rgbColor rgb="FFFFCC00"/>
      <rgbColor rgb="FFF59E0B"/>
      <rgbColor rgb="FFEF4444"/>
      <rgbColor rgb="FF64728C"/>
      <rgbColor rgb="FF8C9AB3"/>
      <rgbColor rgb="FF1B3279"/>
      <rgbColor rgb="FF16A34A"/>
      <rgbColor rgb="FF121A2B"/>
      <rgbColor rgb="FF1C2538"/>
      <rgbColor rgb="FF993300"/>
      <rgbColor rgb="FF6A4CFF"/>
      <rgbColor rgb="FF1B3699"/>
      <rgbColor rgb="FF2E3A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COUNTA(Screens!A5:A54)</f>
        <v>50</v>
      </c>
      <c r="C5" s="5" t="n">
        <f aca="false">COUNTIF(Screens!G5:G54,"Done")</f>
        <v>1</v>
      </c>
      <c r="D5" s="5" t="n">
        <f aca="false">COUNTIF(Screens!G5:G54,"In progress")+COUNTIF(Screens!G5:G54,"In review")</f>
        <v>0</v>
      </c>
      <c r="E5" s="5" t="n">
        <f aca="false">COUNTIF(Screens!G5:G54,"Blocked")</f>
        <v>0</v>
      </c>
      <c r="F5" s="6" t="n">
        <f aca="false">IF(B5=0,0,C5/B5)</f>
        <v>0.02</v>
      </c>
    </row>
    <row r="6" customFormat="false" ht="15" hidden="false" customHeight="false" outlineLevel="0" collapsed="false">
      <c r="A6" s="7" t="s">
        <v>9</v>
      </c>
      <c r="B6" s="8" t="n">
        <f aca="false">COUNTA(Screens!A5:A54)</f>
        <v>50</v>
      </c>
      <c r="C6" s="8" t="n">
        <f aca="false">COUNTIF(Screens!H5:H54,"Done")</f>
        <v>0</v>
      </c>
      <c r="D6" s="8" t="n">
        <f aca="false">COUNTIF(Screens!H5:H54,"In progress")+COUNTIF(Screens!H5:H54,"In review")</f>
        <v>1</v>
      </c>
      <c r="E6" s="8" t="n">
        <f aca="false">COUNTIF(Screens!H5:H54,"Blocked")</f>
        <v>0</v>
      </c>
      <c r="F6" s="9" t="n">
        <f aca="false">IF(B6=0,0,C6/B6)</f>
        <v>0</v>
      </c>
    </row>
    <row r="7" customFormat="false" ht="15" hidden="false" customHeight="false" outlineLevel="0" collapsed="false">
      <c r="A7" s="4" t="s">
        <v>10</v>
      </c>
      <c r="B7" s="5" t="n">
        <f aca="false">COUNTA(Components!A5:A60)</f>
        <v>56</v>
      </c>
      <c r="C7" s="5" t="n">
        <f aca="false">COUNTIF(Components!G5:G60,"Done")</f>
        <v>0</v>
      </c>
      <c r="D7" s="5" t="n">
        <f aca="false">COUNTIF(Components!G5:G60,"In progress")+COUNTIF(Components!G5:G60,"In review")</f>
        <v>0</v>
      </c>
      <c r="E7" s="5" t="n">
        <f aca="false">COUNTIF(Components!G5:G60,"Blocked")</f>
        <v>0</v>
      </c>
      <c r="F7" s="6" t="n">
        <f aca="false">IF(B7=0,0,C7/B7)</f>
        <v>0</v>
      </c>
    </row>
    <row r="8" customFormat="false" ht="15" hidden="false" customHeight="false" outlineLevel="0" collapsed="false">
      <c r="A8" s="7" t="s">
        <v>11</v>
      </c>
      <c r="B8" s="8" t="n">
        <f aca="false">COUNTA(Components!A5:A60)</f>
        <v>56</v>
      </c>
      <c r="C8" s="8" t="n">
        <f aca="false">COUNTIF(Components!H5:H60,"Done")</f>
        <v>0</v>
      </c>
      <c r="D8" s="8" t="n">
        <f aca="false">COUNTIF(Components!H5:H60,"In progress")+COUNTIF(Components!H5:H60,"In review")</f>
        <v>0</v>
      </c>
      <c r="E8" s="8" t="n">
        <f aca="false">COUNTIF(Components!H5:H60,"Blocked")</f>
        <v>0</v>
      </c>
      <c r="F8" s="9" t="n">
        <f aca="false">IF(B8=0,0,C8/B8)</f>
        <v>0</v>
      </c>
    </row>
    <row r="9" customFormat="false" ht="15" hidden="false" customHeight="false" outlineLevel="0" collapsed="false">
      <c r="A9" s="4" t="s">
        <v>12</v>
      </c>
      <c r="B9" s="5" t="n">
        <f aca="false">COUNTA(Requirements!A5:A78)</f>
        <v>74</v>
      </c>
      <c r="C9" s="5" t="n">
        <f aca="false">COUNTIF(Requirements!F5:F78,"Done")</f>
        <v>0</v>
      </c>
      <c r="D9" s="5" t="n">
        <f aca="false">COUNTIF(Requirements!F5:F78,"In progress")+COUNTIF(Requirements!F5:F78,"In review")</f>
        <v>0</v>
      </c>
      <c r="E9" s="5" t="n">
        <f aca="false">COUNTIF(Requirements!F5:F78,"Blocked")</f>
        <v>0</v>
      </c>
      <c r="F9" s="6" t="n">
        <f aca="false">IF(B9=0,0,C9/B9)</f>
        <v>0</v>
      </c>
    </row>
    <row r="10" customFormat="false" ht="15" hidden="false" customHeight="false" outlineLevel="0" collapsed="false">
      <c r="A10" s="7" t="s">
        <v>13</v>
      </c>
      <c r="B10" s="8" t="n">
        <f aca="false">COUNTA(Requirements!A5:A78)</f>
        <v>74</v>
      </c>
      <c r="C10" s="8" t="n">
        <f aca="false">COUNTIF(Requirements!G5:G78,"Done")</f>
        <v>0</v>
      </c>
      <c r="D10" s="8" t="n">
        <f aca="false">COUNTIF(Requirements!G5:G78,"In progress")+COUNTIF(Requirements!G5:G78,"In review")</f>
        <v>0</v>
      </c>
      <c r="E10" s="8" t="n">
        <f aca="false">COUNTIF(Requirements!G5:G78,"Blocked")</f>
        <v>0</v>
      </c>
      <c r="F10" s="9" t="n">
        <f aca="false">IF(B10=0,0,C10/B10)</f>
        <v>0</v>
      </c>
    </row>
    <row r="11" customFormat="false" ht="15" hidden="false" customHeight="false" outlineLevel="0" collapsed="false">
      <c r="A11" s="4" t="s">
        <v>14</v>
      </c>
      <c r="B11" s="5" t="n">
        <f aca="false">COUNTA(API!A5:A50)</f>
        <v>46</v>
      </c>
      <c r="C11" s="5" t="n">
        <f aca="false">COUNTIF(API!F5:F50,"Done")</f>
        <v>0</v>
      </c>
      <c r="D11" s="5" t="n">
        <f aca="false">COUNTIF(API!F5:F50,"In progress")+COUNTIF(API!F5:F50,"In review")</f>
        <v>0</v>
      </c>
      <c r="E11" s="5" t="n">
        <f aca="false">COUNTIF(API!F5:F50,"Blocked")</f>
        <v>0</v>
      </c>
      <c r="F11" s="6" t="n">
        <f aca="false">IF(B11=0,0,C11/B11)</f>
        <v>0</v>
      </c>
    </row>
    <row r="12" customFormat="false" ht="15" hidden="false" customHeight="false" outlineLevel="0" collapsed="false">
      <c r="A12" s="7" t="s">
        <v>15</v>
      </c>
      <c r="B12" s="8" t="n">
        <f aca="false">COUNTA(Database!A5:A39)</f>
        <v>35</v>
      </c>
      <c r="C12" s="8" t="n">
        <f aca="false">COUNTIF(Database!F5:F39,"Done")</f>
        <v>0</v>
      </c>
      <c r="D12" s="8" t="n">
        <f aca="false">COUNTIF(Database!F5:F39,"In progress")+COUNTIF(Database!F5:F39,"In review")</f>
        <v>0</v>
      </c>
      <c r="E12" s="8" t="n">
        <f aca="false">COUNTIF(Database!F5:F39,"Blocked")</f>
        <v>0</v>
      </c>
      <c r="F12" s="9" t="n">
        <f aca="false">IF(B12=0,0,C12/B12)</f>
        <v>0</v>
      </c>
    </row>
    <row r="14" customFormat="false" ht="15" hidden="false" customHeight="false" outlineLevel="0" collapsed="false">
      <c r="A14" s="10" t="s">
        <v>16</v>
      </c>
    </row>
    <row r="15" customFormat="false" ht="15" hidden="false" customHeight="false" outlineLevel="0" collapsed="false">
      <c r="A15" s="11" t="s">
        <v>17</v>
      </c>
    </row>
    <row r="16" customFormat="false" ht="15" hidden="false" customHeight="false" outlineLevel="0" collapsed="false">
      <c r="A16" s="11" t="s">
        <v>18</v>
      </c>
    </row>
    <row r="17" customFormat="false" ht="15" hidden="false" customHeight="false" outlineLevel="0" collapsed="false">
      <c r="A17" s="11" t="s">
        <v>19</v>
      </c>
    </row>
    <row r="18" customFormat="false" ht="15" hidden="false" customHeight="false" outlineLevel="0" collapsed="false">
      <c r="A18" s="11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46"/>
    <col collapsed="false" customWidth="true" hidden="false" outlineLevel="0" max="6" min="6" style="0" width="9"/>
    <col collapsed="false" customWidth="true" hidden="false" outlineLevel="0" max="8" min="7" style="0" width="15"/>
    <col collapsed="false" customWidth="true" hidden="false" outlineLevel="0" max="9" min="9" style="0" width="30"/>
  </cols>
  <sheetData>
    <row r="1" customFormat="false" ht="19.7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27.75" hidden="false" customHeight="true" outlineLevel="0" collapsed="false">
      <c r="A4" s="12" t="s">
        <v>23</v>
      </c>
      <c r="B4" s="12" t="s">
        <v>24</v>
      </c>
      <c r="C4" s="12" t="s">
        <v>25</v>
      </c>
      <c r="D4" s="12" t="s">
        <v>26</v>
      </c>
      <c r="E4" s="12" t="s">
        <v>27</v>
      </c>
      <c r="F4" s="12" t="s">
        <v>28</v>
      </c>
      <c r="G4" s="12" t="s">
        <v>29</v>
      </c>
      <c r="H4" s="12" t="s">
        <v>30</v>
      </c>
      <c r="I4" s="12" t="s">
        <v>31</v>
      </c>
    </row>
    <row r="5" customFormat="false" ht="15" hidden="false" customHeight="false" outlineLevel="0" collapsed="false">
      <c r="A5" s="13" t="s">
        <v>32</v>
      </c>
      <c r="B5" s="13" t="s">
        <v>33</v>
      </c>
      <c r="C5" s="13" t="s">
        <v>24</v>
      </c>
      <c r="D5" s="13" t="s">
        <v>34</v>
      </c>
      <c r="E5" s="13" t="s">
        <v>35</v>
      </c>
      <c r="F5" s="13" t="s">
        <v>36</v>
      </c>
      <c r="G5" s="14" t="s">
        <v>4</v>
      </c>
      <c r="H5" s="14" t="s">
        <v>5</v>
      </c>
      <c r="I5" s="13" t="s">
        <v>37</v>
      </c>
    </row>
    <row r="6" customFormat="false" ht="15" hidden="false" customHeight="false" outlineLevel="0" collapsed="false">
      <c r="A6" s="15" t="s">
        <v>38</v>
      </c>
      <c r="B6" s="15" t="s">
        <v>39</v>
      </c>
      <c r="C6" s="15" t="s">
        <v>24</v>
      </c>
      <c r="D6" s="15" t="s">
        <v>40</v>
      </c>
      <c r="E6" s="15" t="s">
        <v>41</v>
      </c>
      <c r="F6" s="15" t="s">
        <v>36</v>
      </c>
      <c r="G6" s="14" t="s">
        <v>42</v>
      </c>
      <c r="H6" s="14" t="s">
        <v>42</v>
      </c>
      <c r="I6" s="15"/>
    </row>
    <row r="7" customFormat="false" ht="15" hidden="false" customHeight="false" outlineLevel="0" collapsed="false">
      <c r="A7" s="13" t="s">
        <v>43</v>
      </c>
      <c r="B7" s="13" t="s">
        <v>44</v>
      </c>
      <c r="C7" s="13" t="s">
        <v>24</v>
      </c>
      <c r="D7" s="13" t="s">
        <v>34</v>
      </c>
      <c r="E7" s="13" t="s">
        <v>45</v>
      </c>
      <c r="F7" s="13" t="s">
        <v>36</v>
      </c>
      <c r="G7" s="14" t="s">
        <v>42</v>
      </c>
      <c r="H7" s="14" t="s">
        <v>42</v>
      </c>
      <c r="I7" s="13"/>
    </row>
    <row r="8" customFormat="false" ht="15" hidden="false" customHeight="false" outlineLevel="0" collapsed="false">
      <c r="A8" s="15" t="s">
        <v>46</v>
      </c>
      <c r="B8" s="15" t="s">
        <v>47</v>
      </c>
      <c r="C8" s="15" t="s">
        <v>24</v>
      </c>
      <c r="D8" s="15" t="s">
        <v>34</v>
      </c>
      <c r="E8" s="15" t="s">
        <v>48</v>
      </c>
      <c r="F8" s="15" t="s">
        <v>36</v>
      </c>
      <c r="G8" s="14" t="s">
        <v>42</v>
      </c>
      <c r="H8" s="14" t="s">
        <v>42</v>
      </c>
      <c r="I8" s="15"/>
    </row>
    <row r="9" customFormat="false" ht="15" hidden="false" customHeight="false" outlineLevel="0" collapsed="false">
      <c r="A9" s="13" t="s">
        <v>49</v>
      </c>
      <c r="B9" s="13" t="s">
        <v>50</v>
      </c>
      <c r="C9" s="13" t="s">
        <v>24</v>
      </c>
      <c r="D9" s="13" t="s">
        <v>34</v>
      </c>
      <c r="E9" s="13" t="s">
        <v>51</v>
      </c>
      <c r="F9" s="13" t="s">
        <v>36</v>
      </c>
      <c r="G9" s="14" t="s">
        <v>42</v>
      </c>
      <c r="H9" s="14" t="s">
        <v>42</v>
      </c>
      <c r="I9" s="13"/>
    </row>
    <row r="10" customFormat="false" ht="15" hidden="false" customHeight="false" outlineLevel="0" collapsed="false">
      <c r="A10" s="15" t="s">
        <v>52</v>
      </c>
      <c r="B10" s="15" t="s">
        <v>53</v>
      </c>
      <c r="C10" s="15" t="s">
        <v>24</v>
      </c>
      <c r="D10" s="15" t="s">
        <v>40</v>
      </c>
      <c r="E10" s="15" t="s">
        <v>54</v>
      </c>
      <c r="F10" s="15" t="s">
        <v>36</v>
      </c>
      <c r="G10" s="14" t="s">
        <v>42</v>
      </c>
      <c r="H10" s="14" t="s">
        <v>42</v>
      </c>
      <c r="I10" s="15"/>
    </row>
    <row r="11" customFormat="false" ht="15" hidden="false" customHeight="false" outlineLevel="0" collapsed="false">
      <c r="A11" s="13" t="s">
        <v>55</v>
      </c>
      <c r="B11" s="13" t="s">
        <v>56</v>
      </c>
      <c r="C11" s="13" t="s">
        <v>24</v>
      </c>
      <c r="D11" s="13" t="s">
        <v>40</v>
      </c>
      <c r="E11" s="13" t="s">
        <v>57</v>
      </c>
      <c r="F11" s="13" t="s">
        <v>36</v>
      </c>
      <c r="G11" s="14" t="s">
        <v>42</v>
      </c>
      <c r="H11" s="14" t="s">
        <v>42</v>
      </c>
      <c r="I11" s="13"/>
    </row>
    <row r="12" customFormat="false" ht="15" hidden="false" customHeight="false" outlineLevel="0" collapsed="false">
      <c r="A12" s="15" t="s">
        <v>58</v>
      </c>
      <c r="B12" s="15" t="s">
        <v>59</v>
      </c>
      <c r="C12" s="15" t="s">
        <v>24</v>
      </c>
      <c r="D12" s="15" t="s">
        <v>40</v>
      </c>
      <c r="E12" s="15" t="s">
        <v>60</v>
      </c>
      <c r="F12" s="15" t="s">
        <v>36</v>
      </c>
      <c r="G12" s="14" t="s">
        <v>42</v>
      </c>
      <c r="H12" s="14" t="s">
        <v>42</v>
      </c>
      <c r="I12" s="15"/>
    </row>
    <row r="13" customFormat="false" ht="15" hidden="false" customHeight="false" outlineLevel="0" collapsed="false">
      <c r="A13" s="13" t="s">
        <v>61</v>
      </c>
      <c r="B13" s="13" t="s">
        <v>62</v>
      </c>
      <c r="C13" s="13" t="s">
        <v>63</v>
      </c>
      <c r="D13" s="13" t="s">
        <v>64</v>
      </c>
      <c r="E13" s="13" t="s">
        <v>65</v>
      </c>
      <c r="F13" s="13" t="s">
        <v>36</v>
      </c>
      <c r="G13" s="14" t="s">
        <v>42</v>
      </c>
      <c r="H13" s="14" t="s">
        <v>42</v>
      </c>
      <c r="I13" s="13"/>
    </row>
    <row r="14" customFormat="false" ht="15" hidden="false" customHeight="false" outlineLevel="0" collapsed="false">
      <c r="A14" s="15" t="s">
        <v>66</v>
      </c>
      <c r="B14" s="15" t="s">
        <v>67</v>
      </c>
      <c r="C14" s="15" t="s">
        <v>24</v>
      </c>
      <c r="D14" s="15" t="s">
        <v>64</v>
      </c>
      <c r="E14" s="15" t="s">
        <v>68</v>
      </c>
      <c r="F14" s="15" t="s">
        <v>36</v>
      </c>
      <c r="G14" s="14" t="s">
        <v>42</v>
      </c>
      <c r="H14" s="14" t="s">
        <v>42</v>
      </c>
      <c r="I14" s="15"/>
    </row>
    <row r="15" customFormat="false" ht="15" hidden="false" customHeight="false" outlineLevel="0" collapsed="false">
      <c r="A15" s="13" t="s">
        <v>69</v>
      </c>
      <c r="B15" s="13" t="s">
        <v>70</v>
      </c>
      <c r="C15" s="13" t="s">
        <v>63</v>
      </c>
      <c r="D15" s="13" t="s">
        <v>71</v>
      </c>
      <c r="E15" s="13" t="s">
        <v>72</v>
      </c>
      <c r="F15" s="13" t="s">
        <v>36</v>
      </c>
      <c r="G15" s="14" t="s">
        <v>42</v>
      </c>
      <c r="H15" s="14" t="s">
        <v>42</v>
      </c>
      <c r="I15" s="13"/>
    </row>
    <row r="16" customFormat="false" ht="15" hidden="false" customHeight="false" outlineLevel="0" collapsed="false">
      <c r="A16" s="15" t="s">
        <v>73</v>
      </c>
      <c r="B16" s="15" t="s">
        <v>74</v>
      </c>
      <c r="C16" s="15" t="s">
        <v>75</v>
      </c>
      <c r="D16" s="15" t="s">
        <v>71</v>
      </c>
      <c r="E16" s="15" t="s">
        <v>76</v>
      </c>
      <c r="F16" s="15" t="s">
        <v>36</v>
      </c>
      <c r="G16" s="14" t="s">
        <v>42</v>
      </c>
      <c r="H16" s="14" t="s">
        <v>42</v>
      </c>
      <c r="I16" s="15"/>
    </row>
    <row r="17" customFormat="false" ht="15" hidden="false" customHeight="false" outlineLevel="0" collapsed="false">
      <c r="A17" s="13" t="s">
        <v>77</v>
      </c>
      <c r="B17" s="13" t="s">
        <v>78</v>
      </c>
      <c r="C17" s="13" t="s">
        <v>75</v>
      </c>
      <c r="D17" s="13" t="s">
        <v>71</v>
      </c>
      <c r="E17" s="13" t="s">
        <v>79</v>
      </c>
      <c r="F17" s="13" t="s">
        <v>36</v>
      </c>
      <c r="G17" s="14" t="s">
        <v>42</v>
      </c>
      <c r="H17" s="14" t="s">
        <v>42</v>
      </c>
      <c r="I17" s="13"/>
    </row>
    <row r="18" customFormat="false" ht="15" hidden="false" customHeight="false" outlineLevel="0" collapsed="false">
      <c r="A18" s="15" t="s">
        <v>80</v>
      </c>
      <c r="B18" s="15" t="s">
        <v>81</v>
      </c>
      <c r="C18" s="15" t="s">
        <v>82</v>
      </c>
      <c r="D18" s="15" t="s">
        <v>71</v>
      </c>
      <c r="E18" s="15" t="s">
        <v>83</v>
      </c>
      <c r="F18" s="15" t="s">
        <v>36</v>
      </c>
      <c r="G18" s="14" t="s">
        <v>42</v>
      </c>
      <c r="H18" s="14" t="s">
        <v>42</v>
      </c>
      <c r="I18" s="15"/>
    </row>
    <row r="19" customFormat="false" ht="15" hidden="false" customHeight="false" outlineLevel="0" collapsed="false">
      <c r="A19" s="13" t="s">
        <v>84</v>
      </c>
      <c r="B19" s="13" t="s">
        <v>85</v>
      </c>
      <c r="C19" s="13" t="s">
        <v>82</v>
      </c>
      <c r="D19" s="13" t="s">
        <v>71</v>
      </c>
      <c r="E19" s="13" t="s">
        <v>86</v>
      </c>
      <c r="F19" s="13" t="s">
        <v>36</v>
      </c>
      <c r="G19" s="14" t="s">
        <v>42</v>
      </c>
      <c r="H19" s="14" t="s">
        <v>42</v>
      </c>
      <c r="I19" s="13"/>
    </row>
    <row r="20" customFormat="false" ht="15" hidden="false" customHeight="false" outlineLevel="0" collapsed="false">
      <c r="A20" s="15" t="s">
        <v>87</v>
      </c>
      <c r="B20" s="15" t="s">
        <v>88</v>
      </c>
      <c r="C20" s="15" t="s">
        <v>82</v>
      </c>
      <c r="D20" s="15" t="s">
        <v>71</v>
      </c>
      <c r="E20" s="15" t="s">
        <v>89</v>
      </c>
      <c r="F20" s="15" t="s">
        <v>36</v>
      </c>
      <c r="G20" s="14" t="s">
        <v>42</v>
      </c>
      <c r="H20" s="14" t="s">
        <v>42</v>
      </c>
      <c r="I20" s="15"/>
    </row>
    <row r="21" customFormat="false" ht="15" hidden="false" customHeight="false" outlineLevel="0" collapsed="false">
      <c r="A21" s="13" t="s">
        <v>90</v>
      </c>
      <c r="B21" s="13" t="s">
        <v>91</v>
      </c>
      <c r="C21" s="13" t="s">
        <v>82</v>
      </c>
      <c r="D21" s="13" t="s">
        <v>71</v>
      </c>
      <c r="E21" s="13" t="s">
        <v>92</v>
      </c>
      <c r="F21" s="13" t="s">
        <v>36</v>
      </c>
      <c r="G21" s="14" t="s">
        <v>42</v>
      </c>
      <c r="H21" s="14" t="s">
        <v>42</v>
      </c>
      <c r="I21" s="13"/>
    </row>
    <row r="22" customFormat="false" ht="15" hidden="false" customHeight="false" outlineLevel="0" collapsed="false">
      <c r="A22" s="15" t="s">
        <v>93</v>
      </c>
      <c r="B22" s="15" t="s">
        <v>94</v>
      </c>
      <c r="C22" s="15" t="s">
        <v>82</v>
      </c>
      <c r="D22" s="15" t="s">
        <v>71</v>
      </c>
      <c r="E22" s="15" t="s">
        <v>95</v>
      </c>
      <c r="F22" s="15" t="s">
        <v>36</v>
      </c>
      <c r="G22" s="14" t="s">
        <v>42</v>
      </c>
      <c r="H22" s="14" t="s">
        <v>42</v>
      </c>
      <c r="I22" s="15"/>
    </row>
    <row r="23" customFormat="false" ht="15" hidden="false" customHeight="false" outlineLevel="0" collapsed="false">
      <c r="A23" s="13" t="s">
        <v>96</v>
      </c>
      <c r="B23" s="13" t="s">
        <v>97</v>
      </c>
      <c r="C23" s="13" t="s">
        <v>24</v>
      </c>
      <c r="D23" s="13" t="s">
        <v>71</v>
      </c>
      <c r="E23" s="13" t="s">
        <v>98</v>
      </c>
      <c r="F23" s="13" t="s">
        <v>36</v>
      </c>
      <c r="G23" s="14" t="s">
        <v>42</v>
      </c>
      <c r="H23" s="14" t="s">
        <v>42</v>
      </c>
      <c r="I23" s="13"/>
    </row>
    <row r="24" customFormat="false" ht="15" hidden="false" customHeight="false" outlineLevel="0" collapsed="false">
      <c r="A24" s="15" t="s">
        <v>99</v>
      </c>
      <c r="B24" s="15" t="s">
        <v>100</v>
      </c>
      <c r="C24" s="15" t="s">
        <v>63</v>
      </c>
      <c r="D24" s="15" t="s">
        <v>101</v>
      </c>
      <c r="E24" s="15" t="s">
        <v>102</v>
      </c>
      <c r="F24" s="15" t="s">
        <v>36</v>
      </c>
      <c r="G24" s="14" t="s">
        <v>42</v>
      </c>
      <c r="H24" s="14" t="s">
        <v>42</v>
      </c>
      <c r="I24" s="15"/>
    </row>
    <row r="25" customFormat="false" ht="15" hidden="false" customHeight="false" outlineLevel="0" collapsed="false">
      <c r="A25" s="13" t="s">
        <v>103</v>
      </c>
      <c r="B25" s="13" t="s">
        <v>104</v>
      </c>
      <c r="C25" s="13" t="s">
        <v>63</v>
      </c>
      <c r="D25" s="13" t="s">
        <v>105</v>
      </c>
      <c r="E25" s="13" t="s">
        <v>106</v>
      </c>
      <c r="F25" s="13" t="s">
        <v>107</v>
      </c>
      <c r="G25" s="14" t="s">
        <v>42</v>
      </c>
      <c r="H25" s="14" t="s">
        <v>42</v>
      </c>
      <c r="I25" s="13"/>
    </row>
    <row r="26" customFormat="false" ht="15" hidden="false" customHeight="false" outlineLevel="0" collapsed="false">
      <c r="A26" s="15" t="s">
        <v>108</v>
      </c>
      <c r="B26" s="15" t="s">
        <v>109</v>
      </c>
      <c r="C26" s="15" t="s">
        <v>63</v>
      </c>
      <c r="D26" s="15" t="s">
        <v>31</v>
      </c>
      <c r="E26" s="15" t="s">
        <v>110</v>
      </c>
      <c r="F26" s="15" t="s">
        <v>107</v>
      </c>
      <c r="G26" s="14" t="s">
        <v>42</v>
      </c>
      <c r="H26" s="14" t="s">
        <v>42</v>
      </c>
      <c r="I26" s="15"/>
    </row>
    <row r="27" customFormat="false" ht="15" hidden="false" customHeight="false" outlineLevel="0" collapsed="false">
      <c r="A27" s="13" t="s">
        <v>111</v>
      </c>
      <c r="B27" s="13" t="s">
        <v>112</v>
      </c>
      <c r="C27" s="13" t="s">
        <v>63</v>
      </c>
      <c r="D27" s="13" t="s">
        <v>113</v>
      </c>
      <c r="E27" s="13" t="s">
        <v>114</v>
      </c>
      <c r="F27" s="13" t="s">
        <v>107</v>
      </c>
      <c r="G27" s="14" t="s">
        <v>42</v>
      </c>
      <c r="H27" s="14" t="s">
        <v>42</v>
      </c>
      <c r="I27" s="13"/>
    </row>
    <row r="28" customFormat="false" ht="15" hidden="false" customHeight="false" outlineLevel="0" collapsed="false">
      <c r="A28" s="15" t="s">
        <v>115</v>
      </c>
      <c r="B28" s="15" t="s">
        <v>116</v>
      </c>
      <c r="C28" s="15" t="s">
        <v>63</v>
      </c>
      <c r="D28" s="15" t="s">
        <v>117</v>
      </c>
      <c r="E28" s="15" t="s">
        <v>118</v>
      </c>
      <c r="F28" s="15" t="s">
        <v>107</v>
      </c>
      <c r="G28" s="14" t="s">
        <v>42</v>
      </c>
      <c r="H28" s="14" t="s">
        <v>42</v>
      </c>
      <c r="I28" s="15"/>
    </row>
    <row r="29" customFormat="false" ht="15" hidden="false" customHeight="false" outlineLevel="0" collapsed="false">
      <c r="A29" s="13" t="s">
        <v>119</v>
      </c>
      <c r="B29" s="13" t="s">
        <v>120</v>
      </c>
      <c r="C29" s="13" t="s">
        <v>82</v>
      </c>
      <c r="D29" s="13" t="s">
        <v>71</v>
      </c>
      <c r="E29" s="13" t="s">
        <v>121</v>
      </c>
      <c r="F29" s="13" t="s">
        <v>36</v>
      </c>
      <c r="G29" s="14" t="s">
        <v>42</v>
      </c>
      <c r="H29" s="14" t="s">
        <v>42</v>
      </c>
      <c r="I29" s="13"/>
    </row>
    <row r="30" customFormat="false" ht="15" hidden="false" customHeight="false" outlineLevel="0" collapsed="false">
      <c r="A30" s="15" t="s">
        <v>122</v>
      </c>
      <c r="B30" s="15" t="s">
        <v>123</v>
      </c>
      <c r="C30" s="15" t="s">
        <v>75</v>
      </c>
      <c r="D30" s="15" t="s">
        <v>71</v>
      </c>
      <c r="E30" s="15" t="s">
        <v>124</v>
      </c>
      <c r="F30" s="15" t="s">
        <v>36</v>
      </c>
      <c r="G30" s="14" t="s">
        <v>42</v>
      </c>
      <c r="H30" s="14" t="s">
        <v>42</v>
      </c>
      <c r="I30" s="15"/>
    </row>
    <row r="31" customFormat="false" ht="15" hidden="false" customHeight="false" outlineLevel="0" collapsed="false">
      <c r="A31" s="13" t="s">
        <v>125</v>
      </c>
      <c r="B31" s="13" t="s">
        <v>126</v>
      </c>
      <c r="C31" s="13" t="s">
        <v>127</v>
      </c>
      <c r="D31" s="13" t="s">
        <v>71</v>
      </c>
      <c r="E31" s="13" t="s">
        <v>128</v>
      </c>
      <c r="F31" s="13" t="s">
        <v>36</v>
      </c>
      <c r="G31" s="14" t="s">
        <v>42</v>
      </c>
      <c r="H31" s="14" t="s">
        <v>42</v>
      </c>
      <c r="I31" s="13"/>
    </row>
    <row r="32" customFormat="false" ht="15" hidden="false" customHeight="false" outlineLevel="0" collapsed="false">
      <c r="A32" s="15" t="s">
        <v>129</v>
      </c>
      <c r="B32" s="15" t="s">
        <v>130</v>
      </c>
      <c r="C32" s="15" t="s">
        <v>131</v>
      </c>
      <c r="D32" s="15" t="s">
        <v>71</v>
      </c>
      <c r="E32" s="15" t="s">
        <v>132</v>
      </c>
      <c r="F32" s="15" t="s">
        <v>36</v>
      </c>
      <c r="G32" s="14" t="s">
        <v>42</v>
      </c>
      <c r="H32" s="14" t="s">
        <v>42</v>
      </c>
      <c r="I32" s="15"/>
    </row>
    <row r="33" customFormat="false" ht="15" hidden="false" customHeight="false" outlineLevel="0" collapsed="false">
      <c r="A33" s="13" t="s">
        <v>133</v>
      </c>
      <c r="B33" s="13" t="s">
        <v>134</v>
      </c>
      <c r="C33" s="13" t="s">
        <v>135</v>
      </c>
      <c r="D33" s="13" t="s">
        <v>101</v>
      </c>
      <c r="E33" s="13" t="s">
        <v>136</v>
      </c>
      <c r="F33" s="13" t="s">
        <v>36</v>
      </c>
      <c r="G33" s="14" t="s">
        <v>42</v>
      </c>
      <c r="H33" s="14" t="s">
        <v>42</v>
      </c>
      <c r="I33" s="13"/>
    </row>
    <row r="34" customFormat="false" ht="15" hidden="false" customHeight="false" outlineLevel="0" collapsed="false">
      <c r="A34" s="15" t="s">
        <v>137</v>
      </c>
      <c r="B34" s="15" t="s">
        <v>138</v>
      </c>
      <c r="C34" s="15" t="s">
        <v>75</v>
      </c>
      <c r="D34" s="15" t="s">
        <v>101</v>
      </c>
      <c r="E34" s="15" t="s">
        <v>139</v>
      </c>
      <c r="F34" s="15" t="s">
        <v>36</v>
      </c>
      <c r="G34" s="14" t="s">
        <v>42</v>
      </c>
      <c r="H34" s="14" t="s">
        <v>42</v>
      </c>
      <c r="I34" s="15"/>
    </row>
    <row r="35" customFormat="false" ht="15" hidden="false" customHeight="false" outlineLevel="0" collapsed="false">
      <c r="A35" s="13" t="s">
        <v>140</v>
      </c>
      <c r="B35" s="13" t="s">
        <v>141</v>
      </c>
      <c r="C35" s="13" t="s">
        <v>63</v>
      </c>
      <c r="D35" s="13" t="s">
        <v>142</v>
      </c>
      <c r="E35" s="13" t="s">
        <v>143</v>
      </c>
      <c r="F35" s="13" t="s">
        <v>36</v>
      </c>
      <c r="G35" s="14" t="s">
        <v>42</v>
      </c>
      <c r="H35" s="14" t="s">
        <v>42</v>
      </c>
      <c r="I35" s="13"/>
    </row>
    <row r="36" customFormat="false" ht="15" hidden="false" customHeight="false" outlineLevel="0" collapsed="false">
      <c r="A36" s="15" t="s">
        <v>144</v>
      </c>
      <c r="B36" s="15" t="s">
        <v>145</v>
      </c>
      <c r="C36" s="15" t="s">
        <v>24</v>
      </c>
      <c r="D36" s="15" t="s">
        <v>142</v>
      </c>
      <c r="E36" s="15" t="s">
        <v>146</v>
      </c>
      <c r="F36" s="15" t="s">
        <v>36</v>
      </c>
      <c r="G36" s="14" t="s">
        <v>42</v>
      </c>
      <c r="H36" s="14" t="s">
        <v>42</v>
      </c>
      <c r="I36" s="15"/>
    </row>
    <row r="37" customFormat="false" ht="15" hidden="false" customHeight="false" outlineLevel="0" collapsed="false">
      <c r="A37" s="13" t="s">
        <v>147</v>
      </c>
      <c r="B37" s="13" t="s">
        <v>148</v>
      </c>
      <c r="C37" s="13" t="s">
        <v>63</v>
      </c>
      <c r="D37" s="13" t="s">
        <v>149</v>
      </c>
      <c r="E37" s="13" t="s">
        <v>150</v>
      </c>
      <c r="F37" s="13" t="s">
        <v>36</v>
      </c>
      <c r="G37" s="14" t="s">
        <v>42</v>
      </c>
      <c r="H37" s="14" t="s">
        <v>42</v>
      </c>
      <c r="I37" s="13"/>
    </row>
    <row r="38" customFormat="false" ht="15" hidden="false" customHeight="false" outlineLevel="0" collapsed="false">
      <c r="A38" s="15" t="s">
        <v>151</v>
      </c>
      <c r="B38" s="15" t="s">
        <v>152</v>
      </c>
      <c r="C38" s="15" t="s">
        <v>82</v>
      </c>
      <c r="D38" s="15" t="s">
        <v>149</v>
      </c>
      <c r="E38" s="15" t="s">
        <v>153</v>
      </c>
      <c r="F38" s="15" t="s">
        <v>36</v>
      </c>
      <c r="G38" s="14" t="s">
        <v>42</v>
      </c>
      <c r="H38" s="14" t="s">
        <v>42</v>
      </c>
      <c r="I38" s="15"/>
    </row>
    <row r="39" customFormat="false" ht="15" hidden="false" customHeight="false" outlineLevel="0" collapsed="false">
      <c r="A39" s="13" t="s">
        <v>154</v>
      </c>
      <c r="B39" s="13" t="s">
        <v>155</v>
      </c>
      <c r="C39" s="13" t="s">
        <v>24</v>
      </c>
      <c r="D39" s="13" t="s">
        <v>149</v>
      </c>
      <c r="E39" s="13" t="s">
        <v>156</v>
      </c>
      <c r="F39" s="13" t="s">
        <v>36</v>
      </c>
      <c r="G39" s="14" t="s">
        <v>42</v>
      </c>
      <c r="H39" s="14" t="s">
        <v>42</v>
      </c>
      <c r="I39" s="13"/>
    </row>
    <row r="40" customFormat="false" ht="15" hidden="false" customHeight="false" outlineLevel="0" collapsed="false">
      <c r="A40" s="15" t="s">
        <v>157</v>
      </c>
      <c r="B40" s="15" t="s">
        <v>158</v>
      </c>
      <c r="C40" s="15" t="s">
        <v>75</v>
      </c>
      <c r="D40" s="15" t="s">
        <v>105</v>
      </c>
      <c r="E40" s="15" t="s">
        <v>159</v>
      </c>
      <c r="F40" s="15" t="s">
        <v>107</v>
      </c>
      <c r="G40" s="14" t="s">
        <v>42</v>
      </c>
      <c r="H40" s="14" t="s">
        <v>42</v>
      </c>
      <c r="I40" s="15"/>
    </row>
    <row r="41" customFormat="false" ht="15" hidden="false" customHeight="false" outlineLevel="0" collapsed="false">
      <c r="A41" s="13" t="s">
        <v>160</v>
      </c>
      <c r="B41" s="13" t="s">
        <v>161</v>
      </c>
      <c r="C41" s="13" t="s">
        <v>24</v>
      </c>
      <c r="D41" s="13" t="s">
        <v>105</v>
      </c>
      <c r="E41" s="13" t="s">
        <v>162</v>
      </c>
      <c r="F41" s="13" t="s">
        <v>107</v>
      </c>
      <c r="G41" s="14" t="s">
        <v>42</v>
      </c>
      <c r="H41" s="14" t="s">
        <v>42</v>
      </c>
      <c r="I41" s="13"/>
    </row>
    <row r="42" customFormat="false" ht="15" hidden="false" customHeight="false" outlineLevel="0" collapsed="false">
      <c r="A42" s="15" t="s">
        <v>163</v>
      </c>
      <c r="B42" s="15" t="s">
        <v>164</v>
      </c>
      <c r="C42" s="15" t="s">
        <v>82</v>
      </c>
      <c r="D42" s="15" t="s">
        <v>31</v>
      </c>
      <c r="E42" s="15" t="s">
        <v>165</v>
      </c>
      <c r="F42" s="15" t="s">
        <v>107</v>
      </c>
      <c r="G42" s="14" t="s">
        <v>42</v>
      </c>
      <c r="H42" s="14" t="s">
        <v>42</v>
      </c>
      <c r="I42" s="15"/>
    </row>
    <row r="43" customFormat="false" ht="15" hidden="false" customHeight="false" outlineLevel="0" collapsed="false">
      <c r="A43" s="13" t="s">
        <v>166</v>
      </c>
      <c r="B43" s="13" t="s">
        <v>167</v>
      </c>
      <c r="C43" s="13" t="s">
        <v>75</v>
      </c>
      <c r="D43" s="13" t="s">
        <v>113</v>
      </c>
      <c r="E43" s="13" t="s">
        <v>168</v>
      </c>
      <c r="F43" s="13" t="s">
        <v>107</v>
      </c>
      <c r="G43" s="14" t="s">
        <v>42</v>
      </c>
      <c r="H43" s="14" t="s">
        <v>42</v>
      </c>
      <c r="I43" s="13"/>
    </row>
    <row r="44" customFormat="false" ht="15" hidden="false" customHeight="false" outlineLevel="0" collapsed="false">
      <c r="A44" s="15" t="s">
        <v>169</v>
      </c>
      <c r="B44" s="15" t="s">
        <v>170</v>
      </c>
      <c r="C44" s="15" t="s">
        <v>24</v>
      </c>
      <c r="D44" s="15" t="s">
        <v>171</v>
      </c>
      <c r="E44" s="15" t="s">
        <v>172</v>
      </c>
      <c r="F44" s="15" t="s">
        <v>107</v>
      </c>
      <c r="G44" s="14" t="s">
        <v>42</v>
      </c>
      <c r="H44" s="14" t="s">
        <v>42</v>
      </c>
      <c r="I44" s="15"/>
    </row>
    <row r="45" customFormat="false" ht="15" hidden="false" customHeight="false" outlineLevel="0" collapsed="false">
      <c r="A45" s="13" t="s">
        <v>173</v>
      </c>
      <c r="B45" s="13" t="s">
        <v>174</v>
      </c>
      <c r="C45" s="13" t="s">
        <v>24</v>
      </c>
      <c r="D45" s="13" t="s">
        <v>175</v>
      </c>
      <c r="E45" s="13" t="s">
        <v>176</v>
      </c>
      <c r="F45" s="13" t="s">
        <v>36</v>
      </c>
      <c r="G45" s="14" t="s">
        <v>42</v>
      </c>
      <c r="H45" s="14" t="s">
        <v>42</v>
      </c>
      <c r="I45" s="13"/>
    </row>
    <row r="46" customFormat="false" ht="15" hidden="false" customHeight="false" outlineLevel="0" collapsed="false">
      <c r="A46" s="15" t="s">
        <v>177</v>
      </c>
      <c r="B46" s="15" t="s">
        <v>178</v>
      </c>
      <c r="C46" s="15" t="s">
        <v>63</v>
      </c>
      <c r="D46" s="15" t="s">
        <v>179</v>
      </c>
      <c r="E46" s="15" t="s">
        <v>180</v>
      </c>
      <c r="F46" s="15" t="s">
        <v>36</v>
      </c>
      <c r="G46" s="14" t="s">
        <v>42</v>
      </c>
      <c r="H46" s="14" t="s">
        <v>42</v>
      </c>
      <c r="I46" s="15"/>
    </row>
    <row r="47" customFormat="false" ht="15" hidden="false" customHeight="false" outlineLevel="0" collapsed="false">
      <c r="A47" s="13" t="s">
        <v>181</v>
      </c>
      <c r="B47" s="13" t="s">
        <v>182</v>
      </c>
      <c r="C47" s="13" t="s">
        <v>82</v>
      </c>
      <c r="D47" s="13" t="s">
        <v>179</v>
      </c>
      <c r="E47" s="13" t="s">
        <v>183</v>
      </c>
      <c r="F47" s="13" t="s">
        <v>36</v>
      </c>
      <c r="G47" s="14" t="s">
        <v>42</v>
      </c>
      <c r="H47" s="14" t="s">
        <v>42</v>
      </c>
      <c r="I47" s="13"/>
    </row>
    <row r="48" customFormat="false" ht="15" hidden="false" customHeight="false" outlineLevel="0" collapsed="false">
      <c r="A48" s="15" t="s">
        <v>184</v>
      </c>
      <c r="B48" s="15" t="s">
        <v>185</v>
      </c>
      <c r="C48" s="15" t="s">
        <v>24</v>
      </c>
      <c r="D48" s="15" t="s">
        <v>179</v>
      </c>
      <c r="E48" s="15" t="s">
        <v>186</v>
      </c>
      <c r="F48" s="15" t="s">
        <v>36</v>
      </c>
      <c r="G48" s="14" t="s">
        <v>42</v>
      </c>
      <c r="H48" s="14" t="s">
        <v>42</v>
      </c>
      <c r="I48" s="15"/>
    </row>
    <row r="49" customFormat="false" ht="15" hidden="false" customHeight="false" outlineLevel="0" collapsed="false">
      <c r="A49" s="13" t="s">
        <v>187</v>
      </c>
      <c r="B49" s="13" t="s">
        <v>188</v>
      </c>
      <c r="C49" s="13" t="s">
        <v>24</v>
      </c>
      <c r="D49" s="13" t="s">
        <v>179</v>
      </c>
      <c r="E49" s="13" t="s">
        <v>189</v>
      </c>
      <c r="F49" s="13" t="s">
        <v>36</v>
      </c>
      <c r="G49" s="14" t="s">
        <v>42</v>
      </c>
      <c r="H49" s="14" t="s">
        <v>42</v>
      </c>
      <c r="I49" s="13"/>
    </row>
    <row r="50" customFormat="false" ht="15" hidden="false" customHeight="false" outlineLevel="0" collapsed="false">
      <c r="A50" s="15" t="s">
        <v>190</v>
      </c>
      <c r="B50" s="15" t="s">
        <v>191</v>
      </c>
      <c r="C50" s="15" t="s">
        <v>24</v>
      </c>
      <c r="D50" s="15" t="s">
        <v>179</v>
      </c>
      <c r="E50" s="15" t="s">
        <v>192</v>
      </c>
      <c r="F50" s="15" t="s">
        <v>36</v>
      </c>
      <c r="G50" s="14" t="s">
        <v>42</v>
      </c>
      <c r="H50" s="14" t="s">
        <v>42</v>
      </c>
      <c r="I50" s="15"/>
    </row>
    <row r="51" customFormat="false" ht="15" hidden="false" customHeight="false" outlineLevel="0" collapsed="false">
      <c r="A51" s="13" t="s">
        <v>193</v>
      </c>
      <c r="B51" s="13" t="s">
        <v>194</v>
      </c>
      <c r="C51" s="13" t="s">
        <v>24</v>
      </c>
      <c r="D51" s="13" t="s">
        <v>179</v>
      </c>
      <c r="E51" s="13" t="s">
        <v>195</v>
      </c>
      <c r="F51" s="13" t="s">
        <v>107</v>
      </c>
      <c r="G51" s="14" t="s">
        <v>42</v>
      </c>
      <c r="H51" s="14" t="s">
        <v>42</v>
      </c>
      <c r="I51" s="13"/>
    </row>
    <row r="52" customFormat="false" ht="15" hidden="false" customHeight="false" outlineLevel="0" collapsed="false">
      <c r="A52" s="15" t="s">
        <v>196</v>
      </c>
      <c r="B52" s="15" t="s">
        <v>197</v>
      </c>
      <c r="C52" s="15" t="s">
        <v>24</v>
      </c>
      <c r="D52" s="15" t="s">
        <v>179</v>
      </c>
      <c r="E52" s="15" t="s">
        <v>198</v>
      </c>
      <c r="F52" s="15" t="s">
        <v>36</v>
      </c>
      <c r="G52" s="14" t="s">
        <v>42</v>
      </c>
      <c r="H52" s="14" t="s">
        <v>42</v>
      </c>
      <c r="I52" s="15"/>
    </row>
    <row r="53" customFormat="false" ht="15" hidden="false" customHeight="false" outlineLevel="0" collapsed="false">
      <c r="A53" s="13" t="s">
        <v>199</v>
      </c>
      <c r="B53" s="13" t="s">
        <v>200</v>
      </c>
      <c r="C53" s="13" t="s">
        <v>131</v>
      </c>
      <c r="D53" s="13" t="s">
        <v>179</v>
      </c>
      <c r="E53" s="13" t="s">
        <v>201</v>
      </c>
      <c r="F53" s="13" t="s">
        <v>36</v>
      </c>
      <c r="G53" s="14" t="s">
        <v>42</v>
      </c>
      <c r="H53" s="14" t="s">
        <v>42</v>
      </c>
      <c r="I53" s="13"/>
    </row>
    <row r="54" customFormat="false" ht="15" hidden="false" customHeight="false" outlineLevel="0" collapsed="false">
      <c r="A54" s="15" t="s">
        <v>202</v>
      </c>
      <c r="B54" s="15" t="s">
        <v>203</v>
      </c>
      <c r="C54" s="15" t="s">
        <v>204</v>
      </c>
      <c r="D54" s="15" t="s">
        <v>205</v>
      </c>
      <c r="E54" s="15" t="s">
        <v>206</v>
      </c>
      <c r="F54" s="15" t="s">
        <v>36</v>
      </c>
      <c r="G54" s="14" t="s">
        <v>42</v>
      </c>
      <c r="H54" s="14" t="s">
        <v>42</v>
      </c>
      <c r="I54" s="15"/>
    </row>
  </sheetData>
  <autoFilter ref="A4:I54"/>
  <conditionalFormatting sqref="G5:G54">
    <cfRule type="cellIs" priority="2" operator="equal" aboveAverage="0" equalAverage="0" bottom="0" percent="0" rank="0" text="" dxfId="8">
      <formula>"Done"</formula>
    </cfRule>
    <cfRule type="cellIs" priority="3" operator="equal" aboveAverage="0" equalAverage="0" bottom="0" percent="0" rank="0" text="" dxfId="9">
      <formula>"In progress"</formula>
    </cfRule>
    <cfRule type="cellIs" priority="4" operator="equal" aboveAverage="0" equalAverage="0" bottom="0" percent="0" rank="0" text="" dxfId="10">
      <formula>"In review"</formula>
    </cfRule>
    <cfRule type="cellIs" priority="5" operator="equal" aboveAverage="0" equalAverage="0" bottom="0" percent="0" rank="0" text="" dxfId="11">
      <formula>"Blocked"</formula>
    </cfRule>
  </conditionalFormatting>
  <conditionalFormatting sqref="H5:H54">
    <cfRule type="cellIs" priority="6" operator="equal" aboveAverage="0" equalAverage="0" bottom="0" percent="0" rank="0" text="" dxfId="8">
      <formula>"Done"</formula>
    </cfRule>
    <cfRule type="cellIs" priority="7" operator="equal" aboveAverage="0" equalAverage="0" bottom="0" percent="0" rank="0" text="" dxfId="9">
      <formula>"In progress"</formula>
    </cfRule>
    <cfRule type="cellIs" priority="8" operator="equal" aboveAverage="0" equalAverage="0" bottom="0" percent="0" rank="0" text="" dxfId="10">
      <formula>"In review"</formula>
    </cfRule>
    <cfRule type="cellIs" priority="9" operator="equal" aboveAverage="0" equalAverage="0" bottom="0" percent="0" rank="0" text="" dxfId="11">
      <formula>"Blocked"</formula>
    </cfRule>
  </conditionalFormatting>
  <dataValidations count="1">
    <dataValidation allowBlank="true" errorStyle="stop" operator="between" showDropDown="false" showErrorMessage="false" showInputMessage="false" sqref="G5:H54" type="list">
      <formula1>"Not started,In progress,In review,Done,Blocked"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6" min="6" style="0" width="40"/>
    <col collapsed="false" customWidth="true" hidden="false" outlineLevel="0" max="8" min="7" style="0" width="15"/>
  </cols>
  <sheetData>
    <row r="1" customFormat="false" ht="19.7" hidden="false" customHeight="false" outlineLevel="0" collapsed="false">
      <c r="A1" s="1" t="s">
        <v>207</v>
      </c>
    </row>
    <row r="2" customFormat="false" ht="15" hidden="false" customHeight="false" outlineLevel="0" collapsed="false">
      <c r="A2" s="2" t="s">
        <v>208</v>
      </c>
    </row>
    <row r="4" customFormat="false" ht="27.75" hidden="false" customHeight="true" outlineLevel="0" collapsed="false">
      <c r="A4" s="12" t="s">
        <v>23</v>
      </c>
      <c r="B4" s="12" t="s">
        <v>209</v>
      </c>
      <c r="C4" s="12" t="s">
        <v>210</v>
      </c>
      <c r="D4" s="12" t="s">
        <v>211</v>
      </c>
      <c r="E4" s="12" t="s">
        <v>212</v>
      </c>
      <c r="F4" s="12" t="s">
        <v>213</v>
      </c>
      <c r="G4" s="12" t="s">
        <v>214</v>
      </c>
      <c r="H4" s="12" t="s">
        <v>215</v>
      </c>
    </row>
    <row r="5" customFormat="false" ht="23.85" hidden="false" customHeight="false" outlineLevel="0" collapsed="false">
      <c r="A5" s="13" t="s">
        <v>216</v>
      </c>
      <c r="B5" s="13" t="s">
        <v>217</v>
      </c>
      <c r="C5" s="13" t="s">
        <v>218</v>
      </c>
      <c r="D5" s="13" t="s">
        <v>219</v>
      </c>
      <c r="E5" s="13" t="s">
        <v>220</v>
      </c>
      <c r="F5" s="13" t="s">
        <v>221</v>
      </c>
      <c r="G5" s="14" t="s">
        <v>42</v>
      </c>
      <c r="H5" s="14" t="s">
        <v>42</v>
      </c>
    </row>
    <row r="6" customFormat="false" ht="23.85" hidden="false" customHeight="false" outlineLevel="0" collapsed="false">
      <c r="A6" s="15" t="s">
        <v>222</v>
      </c>
      <c r="B6" s="15" t="s">
        <v>217</v>
      </c>
      <c r="C6" s="15" t="s">
        <v>223</v>
      </c>
      <c r="D6" s="15" t="s">
        <v>224</v>
      </c>
      <c r="E6" s="15" t="s">
        <v>225</v>
      </c>
      <c r="F6" s="15" t="s">
        <v>226</v>
      </c>
      <c r="G6" s="14" t="s">
        <v>42</v>
      </c>
      <c r="H6" s="14" t="s">
        <v>42</v>
      </c>
    </row>
    <row r="7" customFormat="false" ht="15" hidden="false" customHeight="false" outlineLevel="0" collapsed="false">
      <c r="A7" s="13" t="s">
        <v>227</v>
      </c>
      <c r="B7" s="13" t="s">
        <v>217</v>
      </c>
      <c r="C7" s="13" t="s">
        <v>228</v>
      </c>
      <c r="D7" s="13" t="s">
        <v>229</v>
      </c>
      <c r="E7" s="13" t="s">
        <v>230</v>
      </c>
      <c r="F7" s="13" t="s">
        <v>231</v>
      </c>
      <c r="G7" s="14" t="s">
        <v>42</v>
      </c>
      <c r="H7" s="14" t="s">
        <v>42</v>
      </c>
    </row>
    <row r="8" customFormat="false" ht="15" hidden="false" customHeight="false" outlineLevel="0" collapsed="false">
      <c r="A8" s="15" t="s">
        <v>232</v>
      </c>
      <c r="B8" s="15" t="s">
        <v>217</v>
      </c>
      <c r="C8" s="15" t="s">
        <v>233</v>
      </c>
      <c r="D8" s="15" t="s">
        <v>234</v>
      </c>
      <c r="E8" s="15" t="s">
        <v>235</v>
      </c>
      <c r="F8" s="15" t="s">
        <v>236</v>
      </c>
      <c r="G8" s="14" t="s">
        <v>42</v>
      </c>
      <c r="H8" s="14" t="s">
        <v>42</v>
      </c>
    </row>
    <row r="9" customFormat="false" ht="15" hidden="false" customHeight="false" outlineLevel="0" collapsed="false">
      <c r="A9" s="13" t="s">
        <v>237</v>
      </c>
      <c r="B9" s="13" t="s">
        <v>217</v>
      </c>
      <c r="C9" s="13" t="s">
        <v>238</v>
      </c>
      <c r="D9" s="13" t="s">
        <v>239</v>
      </c>
      <c r="E9" s="13" t="s">
        <v>240</v>
      </c>
      <c r="F9" s="13" t="s">
        <v>241</v>
      </c>
      <c r="G9" s="14" t="s">
        <v>42</v>
      </c>
      <c r="H9" s="14" t="s">
        <v>42</v>
      </c>
    </row>
    <row r="10" customFormat="false" ht="15" hidden="false" customHeight="false" outlineLevel="0" collapsed="false">
      <c r="A10" s="15" t="s">
        <v>242</v>
      </c>
      <c r="B10" s="15" t="s">
        <v>217</v>
      </c>
      <c r="C10" s="15" t="s">
        <v>243</v>
      </c>
      <c r="D10" s="15" t="s">
        <v>244</v>
      </c>
      <c r="E10" s="15" t="s">
        <v>245</v>
      </c>
      <c r="F10" s="15" t="s">
        <v>246</v>
      </c>
      <c r="G10" s="14" t="s">
        <v>42</v>
      </c>
      <c r="H10" s="14" t="s">
        <v>42</v>
      </c>
    </row>
    <row r="11" customFormat="false" ht="15" hidden="false" customHeight="false" outlineLevel="0" collapsed="false">
      <c r="A11" s="13" t="s">
        <v>247</v>
      </c>
      <c r="B11" s="13" t="s">
        <v>248</v>
      </c>
      <c r="C11" s="13" t="s">
        <v>249</v>
      </c>
      <c r="D11" s="13" t="s">
        <v>250</v>
      </c>
      <c r="E11" s="13" t="s">
        <v>251</v>
      </c>
      <c r="F11" s="13" t="s">
        <v>252</v>
      </c>
      <c r="G11" s="14" t="s">
        <v>42</v>
      </c>
      <c r="H11" s="14" t="s">
        <v>42</v>
      </c>
    </row>
    <row r="12" customFormat="false" ht="15" hidden="false" customHeight="false" outlineLevel="0" collapsed="false">
      <c r="A12" s="15" t="s">
        <v>253</v>
      </c>
      <c r="B12" s="15" t="s">
        <v>248</v>
      </c>
      <c r="C12" s="15" t="s">
        <v>254</v>
      </c>
      <c r="D12" s="15" t="s">
        <v>255</v>
      </c>
      <c r="E12" s="15" t="s">
        <v>256</v>
      </c>
      <c r="F12" s="15" t="s">
        <v>257</v>
      </c>
      <c r="G12" s="14" t="s">
        <v>42</v>
      </c>
      <c r="H12" s="14" t="s">
        <v>42</v>
      </c>
    </row>
    <row r="13" customFormat="false" ht="15" hidden="false" customHeight="false" outlineLevel="0" collapsed="false">
      <c r="A13" s="13" t="s">
        <v>258</v>
      </c>
      <c r="B13" s="13" t="s">
        <v>248</v>
      </c>
      <c r="C13" s="13" t="s">
        <v>259</v>
      </c>
      <c r="D13" s="13" t="s">
        <v>260</v>
      </c>
      <c r="E13" s="13" t="s">
        <v>261</v>
      </c>
      <c r="F13" s="13" t="s">
        <v>262</v>
      </c>
      <c r="G13" s="14" t="s">
        <v>42</v>
      </c>
      <c r="H13" s="14" t="s">
        <v>42</v>
      </c>
    </row>
    <row r="14" customFormat="false" ht="15" hidden="false" customHeight="false" outlineLevel="0" collapsed="false">
      <c r="A14" s="15" t="s">
        <v>263</v>
      </c>
      <c r="B14" s="15" t="s">
        <v>248</v>
      </c>
      <c r="C14" s="15" t="s">
        <v>264</v>
      </c>
      <c r="D14" s="15" t="s">
        <v>265</v>
      </c>
      <c r="E14" s="15" t="s">
        <v>251</v>
      </c>
      <c r="F14" s="15" t="s">
        <v>266</v>
      </c>
      <c r="G14" s="14" t="s">
        <v>42</v>
      </c>
      <c r="H14" s="14" t="s">
        <v>42</v>
      </c>
    </row>
    <row r="15" customFormat="false" ht="15" hidden="false" customHeight="false" outlineLevel="0" collapsed="false">
      <c r="A15" s="13" t="s">
        <v>267</v>
      </c>
      <c r="B15" s="13" t="s">
        <v>248</v>
      </c>
      <c r="C15" s="13" t="s">
        <v>268</v>
      </c>
      <c r="D15" s="13" t="s">
        <v>269</v>
      </c>
      <c r="E15" s="13" t="s">
        <v>270</v>
      </c>
      <c r="F15" s="13" t="s">
        <v>271</v>
      </c>
      <c r="G15" s="14" t="s">
        <v>42</v>
      </c>
      <c r="H15" s="14" t="s">
        <v>42</v>
      </c>
    </row>
    <row r="16" customFormat="false" ht="15" hidden="false" customHeight="false" outlineLevel="0" collapsed="false">
      <c r="A16" s="15" t="s">
        <v>272</v>
      </c>
      <c r="B16" s="15" t="s">
        <v>248</v>
      </c>
      <c r="C16" s="15" t="s">
        <v>273</v>
      </c>
      <c r="D16" s="15" t="s">
        <v>274</v>
      </c>
      <c r="E16" s="15" t="s">
        <v>251</v>
      </c>
      <c r="F16" s="15" t="s">
        <v>275</v>
      </c>
      <c r="G16" s="14" t="s">
        <v>42</v>
      </c>
      <c r="H16" s="14" t="s">
        <v>42</v>
      </c>
    </row>
    <row r="17" customFormat="false" ht="15" hidden="false" customHeight="false" outlineLevel="0" collapsed="false">
      <c r="A17" s="13" t="s">
        <v>276</v>
      </c>
      <c r="B17" s="13" t="s">
        <v>248</v>
      </c>
      <c r="C17" s="13" t="s">
        <v>277</v>
      </c>
      <c r="D17" s="13" t="s">
        <v>278</v>
      </c>
      <c r="E17" s="13" t="s">
        <v>279</v>
      </c>
      <c r="F17" s="13" t="s">
        <v>280</v>
      </c>
      <c r="G17" s="14" t="s">
        <v>42</v>
      </c>
      <c r="H17" s="14" t="s">
        <v>42</v>
      </c>
    </row>
    <row r="18" customFormat="false" ht="15" hidden="false" customHeight="false" outlineLevel="0" collapsed="false">
      <c r="A18" s="15" t="s">
        <v>281</v>
      </c>
      <c r="B18" s="15" t="s">
        <v>248</v>
      </c>
      <c r="C18" s="15" t="s">
        <v>282</v>
      </c>
      <c r="D18" s="15" t="s">
        <v>283</v>
      </c>
      <c r="E18" s="15" t="s">
        <v>251</v>
      </c>
      <c r="F18" s="15" t="s">
        <v>284</v>
      </c>
      <c r="G18" s="14" t="s">
        <v>42</v>
      </c>
      <c r="H18" s="14" t="s">
        <v>42</v>
      </c>
    </row>
    <row r="19" customFormat="false" ht="15" hidden="false" customHeight="false" outlineLevel="0" collapsed="false">
      <c r="A19" s="13" t="s">
        <v>285</v>
      </c>
      <c r="B19" s="13" t="s">
        <v>248</v>
      </c>
      <c r="C19" s="13" t="s">
        <v>286</v>
      </c>
      <c r="D19" s="13" t="s">
        <v>287</v>
      </c>
      <c r="E19" s="13" t="s">
        <v>288</v>
      </c>
      <c r="F19" s="13" t="s">
        <v>289</v>
      </c>
      <c r="G19" s="14" t="s">
        <v>42</v>
      </c>
      <c r="H19" s="14" t="s">
        <v>42</v>
      </c>
    </row>
    <row r="20" customFormat="false" ht="15" hidden="false" customHeight="false" outlineLevel="0" collapsed="false">
      <c r="A20" s="15" t="s">
        <v>290</v>
      </c>
      <c r="B20" s="15" t="s">
        <v>248</v>
      </c>
      <c r="C20" s="15" t="s">
        <v>291</v>
      </c>
      <c r="D20" s="15" t="s">
        <v>292</v>
      </c>
      <c r="E20" s="15" t="s">
        <v>251</v>
      </c>
      <c r="F20" s="15" t="s">
        <v>293</v>
      </c>
      <c r="G20" s="14" t="s">
        <v>42</v>
      </c>
      <c r="H20" s="14" t="s">
        <v>42</v>
      </c>
    </row>
    <row r="21" customFormat="false" ht="15" hidden="false" customHeight="false" outlineLevel="0" collapsed="false">
      <c r="A21" s="13" t="s">
        <v>294</v>
      </c>
      <c r="B21" s="13" t="s">
        <v>248</v>
      </c>
      <c r="C21" s="13" t="s">
        <v>295</v>
      </c>
      <c r="D21" s="13" t="s">
        <v>296</v>
      </c>
      <c r="E21" s="13" t="s">
        <v>279</v>
      </c>
      <c r="F21" s="13" t="s">
        <v>297</v>
      </c>
      <c r="G21" s="14" t="s">
        <v>42</v>
      </c>
      <c r="H21" s="14" t="s">
        <v>42</v>
      </c>
    </row>
    <row r="22" customFormat="false" ht="15" hidden="false" customHeight="false" outlineLevel="0" collapsed="false">
      <c r="A22" s="15" t="s">
        <v>298</v>
      </c>
      <c r="B22" s="15" t="s">
        <v>299</v>
      </c>
      <c r="C22" s="15" t="s">
        <v>300</v>
      </c>
      <c r="D22" s="15" t="s">
        <v>301</v>
      </c>
      <c r="E22" s="15" t="s">
        <v>302</v>
      </c>
      <c r="F22" s="15" t="s">
        <v>303</v>
      </c>
      <c r="G22" s="14" t="s">
        <v>42</v>
      </c>
      <c r="H22" s="14" t="s">
        <v>42</v>
      </c>
    </row>
    <row r="23" customFormat="false" ht="15" hidden="false" customHeight="false" outlineLevel="0" collapsed="false">
      <c r="A23" s="13" t="s">
        <v>304</v>
      </c>
      <c r="B23" s="13" t="s">
        <v>299</v>
      </c>
      <c r="C23" s="13" t="s">
        <v>305</v>
      </c>
      <c r="D23" s="13" t="s">
        <v>306</v>
      </c>
      <c r="E23" s="13" t="s">
        <v>307</v>
      </c>
      <c r="F23" s="13" t="s">
        <v>308</v>
      </c>
      <c r="G23" s="14" t="s">
        <v>42</v>
      </c>
      <c r="H23" s="14" t="s">
        <v>42</v>
      </c>
    </row>
    <row r="24" customFormat="false" ht="15" hidden="false" customHeight="false" outlineLevel="0" collapsed="false">
      <c r="A24" s="15" t="s">
        <v>309</v>
      </c>
      <c r="B24" s="15" t="s">
        <v>299</v>
      </c>
      <c r="C24" s="15" t="s">
        <v>310</v>
      </c>
      <c r="D24" s="15" t="s">
        <v>311</v>
      </c>
      <c r="E24" s="15" t="s">
        <v>307</v>
      </c>
      <c r="F24" s="15" t="s">
        <v>312</v>
      </c>
      <c r="G24" s="14" t="s">
        <v>42</v>
      </c>
      <c r="H24" s="14" t="s">
        <v>42</v>
      </c>
    </row>
    <row r="25" customFormat="false" ht="15" hidden="false" customHeight="false" outlineLevel="0" collapsed="false">
      <c r="A25" s="13" t="s">
        <v>313</v>
      </c>
      <c r="B25" s="13" t="s">
        <v>299</v>
      </c>
      <c r="C25" s="13" t="s">
        <v>314</v>
      </c>
      <c r="D25" s="13" t="s">
        <v>315</v>
      </c>
      <c r="E25" s="13" t="s">
        <v>316</v>
      </c>
      <c r="F25" s="13" t="s">
        <v>317</v>
      </c>
      <c r="G25" s="14" t="s">
        <v>42</v>
      </c>
      <c r="H25" s="14" t="s">
        <v>42</v>
      </c>
    </row>
    <row r="26" customFormat="false" ht="15" hidden="false" customHeight="false" outlineLevel="0" collapsed="false">
      <c r="A26" s="15" t="s">
        <v>318</v>
      </c>
      <c r="B26" s="15" t="s">
        <v>299</v>
      </c>
      <c r="C26" s="15" t="s">
        <v>319</v>
      </c>
      <c r="D26" s="15" t="s">
        <v>320</v>
      </c>
      <c r="E26" s="15" t="s">
        <v>321</v>
      </c>
      <c r="F26" s="15" t="s">
        <v>322</v>
      </c>
      <c r="G26" s="14" t="s">
        <v>42</v>
      </c>
      <c r="H26" s="14" t="s">
        <v>42</v>
      </c>
    </row>
    <row r="27" customFormat="false" ht="15" hidden="false" customHeight="false" outlineLevel="0" collapsed="false">
      <c r="A27" s="13" t="s">
        <v>323</v>
      </c>
      <c r="B27" s="13" t="s">
        <v>299</v>
      </c>
      <c r="C27" s="13" t="s">
        <v>324</v>
      </c>
      <c r="D27" s="13" t="s">
        <v>325</v>
      </c>
      <c r="E27" s="13" t="s">
        <v>321</v>
      </c>
      <c r="F27" s="13" t="s">
        <v>326</v>
      </c>
      <c r="G27" s="14" t="s">
        <v>42</v>
      </c>
      <c r="H27" s="14" t="s">
        <v>42</v>
      </c>
    </row>
    <row r="28" customFormat="false" ht="15" hidden="false" customHeight="false" outlineLevel="0" collapsed="false">
      <c r="A28" s="15" t="s">
        <v>327</v>
      </c>
      <c r="B28" s="15" t="s">
        <v>299</v>
      </c>
      <c r="C28" s="15" t="s">
        <v>328</v>
      </c>
      <c r="D28" s="15" t="s">
        <v>329</v>
      </c>
      <c r="E28" s="15" t="s">
        <v>330</v>
      </c>
      <c r="F28" s="15" t="s">
        <v>279</v>
      </c>
      <c r="G28" s="14" t="s">
        <v>42</v>
      </c>
      <c r="H28" s="14" t="s">
        <v>42</v>
      </c>
    </row>
    <row r="29" customFormat="false" ht="23.85" hidden="false" customHeight="false" outlineLevel="0" collapsed="false">
      <c r="A29" s="13" t="s">
        <v>331</v>
      </c>
      <c r="B29" s="13" t="s">
        <v>332</v>
      </c>
      <c r="C29" s="13" t="s">
        <v>333</v>
      </c>
      <c r="D29" s="13" t="s">
        <v>334</v>
      </c>
      <c r="E29" s="13" t="s">
        <v>335</v>
      </c>
      <c r="F29" s="13" t="s">
        <v>336</v>
      </c>
      <c r="G29" s="14" t="s">
        <v>42</v>
      </c>
      <c r="H29" s="14" t="s">
        <v>42</v>
      </c>
    </row>
    <row r="30" customFormat="false" ht="15" hidden="false" customHeight="false" outlineLevel="0" collapsed="false">
      <c r="A30" s="15" t="s">
        <v>337</v>
      </c>
      <c r="B30" s="15" t="s">
        <v>332</v>
      </c>
      <c r="C30" s="15" t="s">
        <v>338</v>
      </c>
      <c r="D30" s="15" t="s">
        <v>339</v>
      </c>
      <c r="E30" s="15" t="s">
        <v>340</v>
      </c>
      <c r="F30" s="15" t="s">
        <v>341</v>
      </c>
      <c r="G30" s="14" t="s">
        <v>42</v>
      </c>
      <c r="H30" s="14" t="s">
        <v>42</v>
      </c>
    </row>
    <row r="31" customFormat="false" ht="15" hidden="false" customHeight="false" outlineLevel="0" collapsed="false">
      <c r="A31" s="13" t="s">
        <v>342</v>
      </c>
      <c r="B31" s="13" t="s">
        <v>332</v>
      </c>
      <c r="C31" s="13" t="s">
        <v>343</v>
      </c>
      <c r="D31" s="13" t="s">
        <v>344</v>
      </c>
      <c r="E31" s="13" t="s">
        <v>345</v>
      </c>
      <c r="F31" s="13" t="s">
        <v>346</v>
      </c>
      <c r="G31" s="14" t="s">
        <v>42</v>
      </c>
      <c r="H31" s="14" t="s">
        <v>42</v>
      </c>
    </row>
    <row r="32" customFormat="false" ht="15" hidden="false" customHeight="false" outlineLevel="0" collapsed="false">
      <c r="A32" s="15" t="s">
        <v>347</v>
      </c>
      <c r="B32" s="15" t="s">
        <v>332</v>
      </c>
      <c r="C32" s="15" t="s">
        <v>348</v>
      </c>
      <c r="D32" s="15" t="s">
        <v>349</v>
      </c>
      <c r="E32" s="15" t="s">
        <v>350</v>
      </c>
      <c r="F32" s="15" t="s">
        <v>351</v>
      </c>
      <c r="G32" s="14" t="s">
        <v>42</v>
      </c>
      <c r="H32" s="14" t="s">
        <v>42</v>
      </c>
    </row>
    <row r="33" customFormat="false" ht="15" hidden="false" customHeight="false" outlineLevel="0" collapsed="false">
      <c r="A33" s="13" t="s">
        <v>352</v>
      </c>
      <c r="B33" s="13" t="s">
        <v>332</v>
      </c>
      <c r="C33" s="13" t="s">
        <v>353</v>
      </c>
      <c r="D33" s="13" t="s">
        <v>354</v>
      </c>
      <c r="E33" s="13" t="s">
        <v>279</v>
      </c>
      <c r="F33" s="13" t="s">
        <v>355</v>
      </c>
      <c r="G33" s="14" t="s">
        <v>42</v>
      </c>
      <c r="H33" s="14" t="s">
        <v>42</v>
      </c>
    </row>
    <row r="34" customFormat="false" ht="15" hidden="false" customHeight="false" outlineLevel="0" collapsed="false">
      <c r="A34" s="15" t="s">
        <v>356</v>
      </c>
      <c r="B34" s="15" t="s">
        <v>332</v>
      </c>
      <c r="C34" s="15" t="s">
        <v>357</v>
      </c>
      <c r="D34" s="15" t="s">
        <v>358</v>
      </c>
      <c r="E34" s="15" t="s">
        <v>279</v>
      </c>
      <c r="F34" s="15" t="s">
        <v>359</v>
      </c>
      <c r="G34" s="14" t="s">
        <v>42</v>
      </c>
      <c r="H34" s="14" t="s">
        <v>42</v>
      </c>
    </row>
    <row r="35" customFormat="false" ht="15" hidden="false" customHeight="false" outlineLevel="0" collapsed="false">
      <c r="A35" s="13" t="s">
        <v>360</v>
      </c>
      <c r="B35" s="13" t="s">
        <v>332</v>
      </c>
      <c r="C35" s="13" t="s">
        <v>361</v>
      </c>
      <c r="D35" s="13" t="s">
        <v>362</v>
      </c>
      <c r="E35" s="13" t="s">
        <v>279</v>
      </c>
      <c r="F35" s="13" t="s">
        <v>363</v>
      </c>
      <c r="G35" s="14" t="s">
        <v>42</v>
      </c>
      <c r="H35" s="14" t="s">
        <v>42</v>
      </c>
    </row>
    <row r="36" customFormat="false" ht="15" hidden="false" customHeight="false" outlineLevel="0" collapsed="false">
      <c r="A36" s="15" t="s">
        <v>364</v>
      </c>
      <c r="B36" s="15" t="s">
        <v>332</v>
      </c>
      <c r="C36" s="15" t="s">
        <v>365</v>
      </c>
      <c r="D36" s="15" t="s">
        <v>366</v>
      </c>
      <c r="E36" s="15" t="s">
        <v>367</v>
      </c>
      <c r="F36" s="15" t="s">
        <v>368</v>
      </c>
      <c r="G36" s="14" t="s">
        <v>42</v>
      </c>
      <c r="H36" s="14" t="s">
        <v>42</v>
      </c>
    </row>
    <row r="37" customFormat="false" ht="15" hidden="false" customHeight="false" outlineLevel="0" collapsed="false">
      <c r="A37" s="13" t="s">
        <v>369</v>
      </c>
      <c r="B37" s="13" t="s">
        <v>332</v>
      </c>
      <c r="C37" s="13" t="s">
        <v>370</v>
      </c>
      <c r="D37" s="13" t="s">
        <v>371</v>
      </c>
      <c r="E37" s="13" t="s">
        <v>372</v>
      </c>
      <c r="F37" s="13" t="s">
        <v>373</v>
      </c>
      <c r="G37" s="14" t="s">
        <v>42</v>
      </c>
      <c r="H37" s="14" t="s">
        <v>42</v>
      </c>
    </row>
    <row r="38" customFormat="false" ht="15" hidden="false" customHeight="false" outlineLevel="0" collapsed="false">
      <c r="A38" s="15" t="s">
        <v>374</v>
      </c>
      <c r="B38" s="15" t="s">
        <v>332</v>
      </c>
      <c r="C38" s="15" t="s">
        <v>375</v>
      </c>
      <c r="D38" s="15" t="s">
        <v>376</v>
      </c>
      <c r="E38" s="15" t="s">
        <v>377</v>
      </c>
      <c r="F38" s="15" t="s">
        <v>341</v>
      </c>
      <c r="G38" s="14" t="s">
        <v>42</v>
      </c>
      <c r="H38" s="14" t="s">
        <v>42</v>
      </c>
    </row>
    <row r="39" customFormat="false" ht="15" hidden="false" customHeight="false" outlineLevel="0" collapsed="false">
      <c r="A39" s="13" t="s">
        <v>378</v>
      </c>
      <c r="B39" s="13" t="s">
        <v>332</v>
      </c>
      <c r="C39" s="13" t="s">
        <v>379</v>
      </c>
      <c r="D39" s="13" t="s">
        <v>380</v>
      </c>
      <c r="E39" s="13" t="s">
        <v>381</v>
      </c>
      <c r="F39" s="13" t="s">
        <v>382</v>
      </c>
      <c r="G39" s="14" t="s">
        <v>42</v>
      </c>
      <c r="H39" s="14" t="s">
        <v>42</v>
      </c>
    </row>
    <row r="40" customFormat="false" ht="15" hidden="false" customHeight="false" outlineLevel="0" collapsed="false">
      <c r="A40" s="15" t="s">
        <v>383</v>
      </c>
      <c r="B40" s="15" t="s">
        <v>332</v>
      </c>
      <c r="C40" s="15" t="s">
        <v>384</v>
      </c>
      <c r="D40" s="15" t="s">
        <v>385</v>
      </c>
      <c r="E40" s="15" t="s">
        <v>279</v>
      </c>
      <c r="F40" s="15" t="s">
        <v>386</v>
      </c>
      <c r="G40" s="14" t="s">
        <v>42</v>
      </c>
      <c r="H40" s="14" t="s">
        <v>42</v>
      </c>
    </row>
    <row r="41" customFormat="false" ht="15" hidden="false" customHeight="false" outlineLevel="0" collapsed="false">
      <c r="A41" s="13" t="s">
        <v>387</v>
      </c>
      <c r="B41" s="13" t="s">
        <v>388</v>
      </c>
      <c r="C41" s="13" t="s">
        <v>389</v>
      </c>
      <c r="D41" s="13" t="s">
        <v>390</v>
      </c>
      <c r="E41" s="13" t="s">
        <v>279</v>
      </c>
      <c r="F41" s="13" t="s">
        <v>391</v>
      </c>
      <c r="G41" s="14" t="s">
        <v>42</v>
      </c>
      <c r="H41" s="14" t="s">
        <v>42</v>
      </c>
    </row>
    <row r="42" customFormat="false" ht="15" hidden="false" customHeight="false" outlineLevel="0" collapsed="false">
      <c r="A42" s="15" t="s">
        <v>392</v>
      </c>
      <c r="B42" s="15" t="s">
        <v>388</v>
      </c>
      <c r="C42" s="15" t="s">
        <v>393</v>
      </c>
      <c r="D42" s="15" t="s">
        <v>394</v>
      </c>
      <c r="E42" s="15" t="s">
        <v>279</v>
      </c>
      <c r="F42" s="15" t="s">
        <v>395</v>
      </c>
      <c r="G42" s="14" t="s">
        <v>42</v>
      </c>
      <c r="H42" s="14" t="s">
        <v>42</v>
      </c>
    </row>
    <row r="43" customFormat="false" ht="15" hidden="false" customHeight="false" outlineLevel="0" collapsed="false">
      <c r="A43" s="13" t="s">
        <v>396</v>
      </c>
      <c r="B43" s="13" t="s">
        <v>388</v>
      </c>
      <c r="C43" s="13" t="s">
        <v>397</v>
      </c>
      <c r="D43" s="13" t="s">
        <v>398</v>
      </c>
      <c r="E43" s="13" t="s">
        <v>279</v>
      </c>
      <c r="F43" s="13" t="s">
        <v>399</v>
      </c>
      <c r="G43" s="14" t="s">
        <v>42</v>
      </c>
      <c r="H43" s="14" t="s">
        <v>42</v>
      </c>
    </row>
    <row r="44" customFormat="false" ht="15" hidden="false" customHeight="false" outlineLevel="0" collapsed="false">
      <c r="A44" s="15" t="s">
        <v>400</v>
      </c>
      <c r="B44" s="15" t="s">
        <v>388</v>
      </c>
      <c r="C44" s="15" t="s">
        <v>401</v>
      </c>
      <c r="D44" s="15" t="s">
        <v>402</v>
      </c>
      <c r="E44" s="15" t="s">
        <v>279</v>
      </c>
      <c r="F44" s="15" t="s">
        <v>403</v>
      </c>
      <c r="G44" s="14" t="s">
        <v>42</v>
      </c>
      <c r="H44" s="14" t="s">
        <v>42</v>
      </c>
    </row>
    <row r="45" customFormat="false" ht="15" hidden="false" customHeight="false" outlineLevel="0" collapsed="false">
      <c r="A45" s="13" t="s">
        <v>404</v>
      </c>
      <c r="B45" s="13" t="s">
        <v>388</v>
      </c>
      <c r="C45" s="13" t="s">
        <v>405</v>
      </c>
      <c r="D45" s="13" t="s">
        <v>406</v>
      </c>
      <c r="E45" s="13" t="s">
        <v>279</v>
      </c>
      <c r="F45" s="13" t="s">
        <v>279</v>
      </c>
      <c r="G45" s="14" t="s">
        <v>42</v>
      </c>
      <c r="H45" s="14" t="s">
        <v>42</v>
      </c>
    </row>
    <row r="46" customFormat="false" ht="15" hidden="false" customHeight="false" outlineLevel="0" collapsed="false">
      <c r="A46" s="15" t="s">
        <v>407</v>
      </c>
      <c r="B46" s="15" t="s">
        <v>388</v>
      </c>
      <c r="C46" s="15" t="s">
        <v>408</v>
      </c>
      <c r="D46" s="15" t="s">
        <v>409</v>
      </c>
      <c r="E46" s="15" t="s">
        <v>279</v>
      </c>
      <c r="F46" s="15" t="s">
        <v>410</v>
      </c>
      <c r="G46" s="14" t="s">
        <v>42</v>
      </c>
      <c r="H46" s="14" t="s">
        <v>42</v>
      </c>
    </row>
    <row r="47" customFormat="false" ht="15" hidden="false" customHeight="false" outlineLevel="0" collapsed="false">
      <c r="A47" s="13" t="s">
        <v>411</v>
      </c>
      <c r="B47" s="13" t="s">
        <v>388</v>
      </c>
      <c r="C47" s="13" t="s">
        <v>412</v>
      </c>
      <c r="D47" s="13" t="s">
        <v>413</v>
      </c>
      <c r="E47" s="13" t="s">
        <v>279</v>
      </c>
      <c r="F47" s="13" t="s">
        <v>414</v>
      </c>
      <c r="G47" s="14" t="s">
        <v>42</v>
      </c>
      <c r="H47" s="14" t="s">
        <v>42</v>
      </c>
    </row>
    <row r="48" customFormat="false" ht="15" hidden="false" customHeight="false" outlineLevel="0" collapsed="false">
      <c r="A48" s="15" t="s">
        <v>415</v>
      </c>
      <c r="B48" s="15" t="s">
        <v>388</v>
      </c>
      <c r="C48" s="15" t="s">
        <v>416</v>
      </c>
      <c r="D48" s="15" t="s">
        <v>417</v>
      </c>
      <c r="E48" s="15" t="s">
        <v>279</v>
      </c>
      <c r="F48" s="15" t="s">
        <v>418</v>
      </c>
      <c r="G48" s="14" t="s">
        <v>42</v>
      </c>
      <c r="H48" s="14" t="s">
        <v>42</v>
      </c>
    </row>
    <row r="49" customFormat="false" ht="15" hidden="false" customHeight="false" outlineLevel="0" collapsed="false">
      <c r="A49" s="13" t="s">
        <v>419</v>
      </c>
      <c r="B49" s="13" t="s">
        <v>420</v>
      </c>
      <c r="C49" s="13" t="s">
        <v>421</v>
      </c>
      <c r="D49" s="13" t="s">
        <v>422</v>
      </c>
      <c r="E49" s="13" t="s">
        <v>423</v>
      </c>
      <c r="F49" s="13" t="s">
        <v>424</v>
      </c>
      <c r="G49" s="14" t="s">
        <v>42</v>
      </c>
      <c r="H49" s="14" t="s">
        <v>42</v>
      </c>
    </row>
    <row r="50" customFormat="false" ht="15" hidden="false" customHeight="false" outlineLevel="0" collapsed="false">
      <c r="A50" s="15" t="s">
        <v>425</v>
      </c>
      <c r="B50" s="15" t="s">
        <v>420</v>
      </c>
      <c r="C50" s="15" t="s">
        <v>426</v>
      </c>
      <c r="D50" s="15" t="s">
        <v>427</v>
      </c>
      <c r="E50" s="15" t="s">
        <v>428</v>
      </c>
      <c r="F50" s="15" t="s">
        <v>429</v>
      </c>
      <c r="G50" s="14" t="s">
        <v>42</v>
      </c>
      <c r="H50" s="14" t="s">
        <v>42</v>
      </c>
    </row>
    <row r="51" customFormat="false" ht="15" hidden="false" customHeight="false" outlineLevel="0" collapsed="false">
      <c r="A51" s="13" t="s">
        <v>430</v>
      </c>
      <c r="B51" s="13" t="s">
        <v>420</v>
      </c>
      <c r="C51" s="13" t="s">
        <v>431</v>
      </c>
      <c r="D51" s="13" t="s">
        <v>432</v>
      </c>
      <c r="E51" s="13" t="s">
        <v>261</v>
      </c>
      <c r="F51" s="13" t="s">
        <v>433</v>
      </c>
      <c r="G51" s="14" t="s">
        <v>42</v>
      </c>
      <c r="H51" s="14" t="s">
        <v>42</v>
      </c>
    </row>
    <row r="52" customFormat="false" ht="15" hidden="false" customHeight="false" outlineLevel="0" collapsed="false">
      <c r="A52" s="15" t="s">
        <v>434</v>
      </c>
      <c r="B52" s="15" t="s">
        <v>435</v>
      </c>
      <c r="C52" s="15" t="s">
        <v>436</v>
      </c>
      <c r="D52" s="15" t="s">
        <v>437</v>
      </c>
      <c r="E52" s="15" t="s">
        <v>279</v>
      </c>
      <c r="F52" s="15" t="s">
        <v>438</v>
      </c>
      <c r="G52" s="14" t="s">
        <v>42</v>
      </c>
      <c r="H52" s="14" t="s">
        <v>42</v>
      </c>
    </row>
    <row r="53" customFormat="false" ht="15" hidden="false" customHeight="false" outlineLevel="0" collapsed="false">
      <c r="A53" s="13" t="s">
        <v>439</v>
      </c>
      <c r="B53" s="13" t="s">
        <v>435</v>
      </c>
      <c r="C53" s="13" t="s">
        <v>440</v>
      </c>
      <c r="D53" s="13" t="s">
        <v>441</v>
      </c>
      <c r="E53" s="13" t="s">
        <v>279</v>
      </c>
      <c r="F53" s="13" t="s">
        <v>442</v>
      </c>
      <c r="G53" s="14" t="s">
        <v>42</v>
      </c>
      <c r="H53" s="14" t="s">
        <v>42</v>
      </c>
    </row>
    <row r="54" customFormat="false" ht="15" hidden="false" customHeight="false" outlineLevel="0" collapsed="false">
      <c r="A54" s="15" t="s">
        <v>443</v>
      </c>
      <c r="B54" s="15" t="s">
        <v>435</v>
      </c>
      <c r="C54" s="15" t="s">
        <v>444</v>
      </c>
      <c r="D54" s="15" t="s">
        <v>445</v>
      </c>
      <c r="E54" s="15" t="s">
        <v>279</v>
      </c>
      <c r="F54" s="15" t="s">
        <v>446</v>
      </c>
      <c r="G54" s="14" t="s">
        <v>42</v>
      </c>
      <c r="H54" s="14" t="s">
        <v>42</v>
      </c>
    </row>
    <row r="55" customFormat="false" ht="15" hidden="false" customHeight="false" outlineLevel="0" collapsed="false">
      <c r="A55" s="13" t="s">
        <v>447</v>
      </c>
      <c r="B55" s="13" t="s">
        <v>435</v>
      </c>
      <c r="C55" s="13" t="s">
        <v>448</v>
      </c>
      <c r="D55" s="13" t="s">
        <v>449</v>
      </c>
      <c r="E55" s="13" t="s">
        <v>279</v>
      </c>
      <c r="F55" s="13" t="s">
        <v>450</v>
      </c>
      <c r="G55" s="14" t="s">
        <v>42</v>
      </c>
      <c r="H55" s="14" t="s">
        <v>42</v>
      </c>
    </row>
    <row r="56" customFormat="false" ht="15" hidden="false" customHeight="false" outlineLevel="0" collapsed="false">
      <c r="A56" s="15" t="s">
        <v>451</v>
      </c>
      <c r="B56" s="15" t="s">
        <v>452</v>
      </c>
      <c r="C56" s="15" t="s">
        <v>453</v>
      </c>
      <c r="D56" s="15" t="s">
        <v>454</v>
      </c>
      <c r="E56" s="15" t="s">
        <v>279</v>
      </c>
      <c r="F56" s="15" t="s">
        <v>455</v>
      </c>
      <c r="G56" s="14" t="s">
        <v>42</v>
      </c>
      <c r="H56" s="14" t="s">
        <v>42</v>
      </c>
    </row>
    <row r="57" customFormat="false" ht="15" hidden="false" customHeight="false" outlineLevel="0" collapsed="false">
      <c r="A57" s="13" t="s">
        <v>456</v>
      </c>
      <c r="B57" s="13" t="s">
        <v>452</v>
      </c>
      <c r="C57" s="13" t="s">
        <v>131</v>
      </c>
      <c r="D57" s="13" t="s">
        <v>457</v>
      </c>
      <c r="E57" s="13" t="s">
        <v>458</v>
      </c>
      <c r="F57" s="13" t="s">
        <v>459</v>
      </c>
      <c r="G57" s="14" t="s">
        <v>42</v>
      </c>
      <c r="H57" s="14" t="s">
        <v>42</v>
      </c>
    </row>
    <row r="58" customFormat="false" ht="15" hidden="false" customHeight="false" outlineLevel="0" collapsed="false">
      <c r="A58" s="15" t="s">
        <v>460</v>
      </c>
      <c r="B58" s="15" t="s">
        <v>452</v>
      </c>
      <c r="C58" s="15" t="s">
        <v>127</v>
      </c>
      <c r="D58" s="15" t="s">
        <v>461</v>
      </c>
      <c r="E58" s="15" t="s">
        <v>279</v>
      </c>
      <c r="F58" s="15" t="s">
        <v>279</v>
      </c>
      <c r="G58" s="14" t="s">
        <v>42</v>
      </c>
      <c r="H58" s="14" t="s">
        <v>42</v>
      </c>
    </row>
    <row r="59" customFormat="false" ht="15" hidden="false" customHeight="false" outlineLevel="0" collapsed="false">
      <c r="A59" s="13" t="s">
        <v>462</v>
      </c>
      <c r="B59" s="13" t="s">
        <v>452</v>
      </c>
      <c r="C59" s="13" t="s">
        <v>463</v>
      </c>
      <c r="D59" s="13" t="s">
        <v>464</v>
      </c>
      <c r="E59" s="13" t="s">
        <v>279</v>
      </c>
      <c r="F59" s="13" t="s">
        <v>465</v>
      </c>
      <c r="G59" s="14" t="s">
        <v>42</v>
      </c>
      <c r="H59" s="14" t="s">
        <v>42</v>
      </c>
    </row>
    <row r="60" customFormat="false" ht="15" hidden="false" customHeight="false" outlineLevel="0" collapsed="false">
      <c r="A60" s="15" t="s">
        <v>466</v>
      </c>
      <c r="B60" s="15" t="s">
        <v>452</v>
      </c>
      <c r="C60" s="15" t="s">
        <v>467</v>
      </c>
      <c r="D60" s="15" t="s">
        <v>468</v>
      </c>
      <c r="E60" s="15" t="s">
        <v>279</v>
      </c>
      <c r="F60" s="15" t="s">
        <v>469</v>
      </c>
      <c r="G60" s="14" t="s">
        <v>42</v>
      </c>
      <c r="H60" s="14" t="s">
        <v>42</v>
      </c>
    </row>
  </sheetData>
  <autoFilter ref="A4:H60"/>
  <conditionalFormatting sqref="G5:G60">
    <cfRule type="cellIs" priority="2" operator="equal" aboveAverage="0" equalAverage="0" bottom="0" percent="0" rank="0" text="" dxfId="8">
      <formula>"Done"</formula>
    </cfRule>
    <cfRule type="cellIs" priority="3" operator="equal" aboveAverage="0" equalAverage="0" bottom="0" percent="0" rank="0" text="" dxfId="9">
      <formula>"In progress"</formula>
    </cfRule>
    <cfRule type="cellIs" priority="4" operator="equal" aboveAverage="0" equalAverage="0" bottom="0" percent="0" rank="0" text="" dxfId="10">
      <formula>"In review"</formula>
    </cfRule>
    <cfRule type="cellIs" priority="5" operator="equal" aboveAverage="0" equalAverage="0" bottom="0" percent="0" rank="0" text="" dxfId="11">
      <formula>"Blocked"</formula>
    </cfRule>
  </conditionalFormatting>
  <conditionalFormatting sqref="H5:H60">
    <cfRule type="cellIs" priority="6" operator="equal" aboveAverage="0" equalAverage="0" bottom="0" percent="0" rank="0" text="" dxfId="8">
      <formula>"Done"</formula>
    </cfRule>
    <cfRule type="cellIs" priority="7" operator="equal" aboveAverage="0" equalAverage="0" bottom="0" percent="0" rank="0" text="" dxfId="9">
      <formula>"In progress"</formula>
    </cfRule>
    <cfRule type="cellIs" priority="8" operator="equal" aboveAverage="0" equalAverage="0" bottom="0" percent="0" rank="0" text="" dxfId="10">
      <formula>"In review"</formula>
    </cfRule>
    <cfRule type="cellIs" priority="9" operator="equal" aboveAverage="0" equalAverage="0" bottom="0" percent="0" rank="0" text="" dxfId="11">
      <formula>"Blocked"</formula>
    </cfRule>
  </conditionalFormatting>
  <dataValidations count="1">
    <dataValidation allowBlank="true" errorStyle="stop" operator="between" showDropDown="false" showErrorMessage="false" showInputMessage="false" sqref="G5:H60" type="list">
      <formula1>"Not started,In progress,In review,Done,Blocked"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7" min="6" style="0" width="15"/>
    <col collapsed="false" customWidth="true" hidden="false" outlineLevel="0" max="8" min="8" style="0" width="26"/>
  </cols>
  <sheetData>
    <row r="1" customFormat="false" ht="19.7" hidden="false" customHeight="false" outlineLevel="0" collapsed="false">
      <c r="A1" s="1" t="s">
        <v>470</v>
      </c>
    </row>
    <row r="2" customFormat="false" ht="15" hidden="false" customHeight="false" outlineLevel="0" collapsed="false">
      <c r="A2" s="2" t="s">
        <v>471</v>
      </c>
    </row>
    <row r="4" customFormat="false" ht="27.75" hidden="false" customHeight="true" outlineLevel="0" collapsed="false">
      <c r="A4" s="12" t="s">
        <v>23</v>
      </c>
      <c r="B4" s="12" t="s">
        <v>26</v>
      </c>
      <c r="C4" s="12" t="s">
        <v>472</v>
      </c>
      <c r="D4" s="12" t="s">
        <v>473</v>
      </c>
      <c r="E4" s="12" t="s">
        <v>28</v>
      </c>
      <c r="F4" s="12" t="s">
        <v>30</v>
      </c>
      <c r="G4" s="12" t="s">
        <v>474</v>
      </c>
      <c r="H4" s="12" t="s">
        <v>31</v>
      </c>
    </row>
    <row r="5" customFormat="false" ht="23.85" hidden="false" customHeight="false" outlineLevel="0" collapsed="false">
      <c r="A5" s="13" t="s">
        <v>475</v>
      </c>
      <c r="B5" s="13" t="s">
        <v>34</v>
      </c>
      <c r="C5" s="13" t="s">
        <v>476</v>
      </c>
      <c r="D5" s="13" t="s">
        <v>477</v>
      </c>
      <c r="E5" s="13" t="s">
        <v>36</v>
      </c>
      <c r="F5" s="14" t="s">
        <v>42</v>
      </c>
      <c r="G5" s="14" t="s">
        <v>42</v>
      </c>
      <c r="H5" s="13"/>
    </row>
    <row r="6" customFormat="false" ht="15" hidden="false" customHeight="false" outlineLevel="0" collapsed="false">
      <c r="A6" s="15" t="s">
        <v>478</v>
      </c>
      <c r="B6" s="15" t="s">
        <v>34</v>
      </c>
      <c r="C6" s="15" t="s">
        <v>479</v>
      </c>
      <c r="D6" s="15" t="s">
        <v>480</v>
      </c>
      <c r="E6" s="15" t="s">
        <v>36</v>
      </c>
      <c r="F6" s="14" t="s">
        <v>42</v>
      </c>
      <c r="G6" s="14" t="s">
        <v>42</v>
      </c>
      <c r="H6" s="15"/>
    </row>
    <row r="7" customFormat="false" ht="15" hidden="false" customHeight="false" outlineLevel="0" collapsed="false">
      <c r="A7" s="13" t="s">
        <v>481</v>
      </c>
      <c r="B7" s="13" t="s">
        <v>34</v>
      </c>
      <c r="C7" s="13" t="s">
        <v>482</v>
      </c>
      <c r="D7" s="13" t="s">
        <v>483</v>
      </c>
      <c r="E7" s="13" t="s">
        <v>36</v>
      </c>
      <c r="F7" s="14" t="s">
        <v>42</v>
      </c>
      <c r="G7" s="14" t="s">
        <v>42</v>
      </c>
      <c r="H7" s="13"/>
    </row>
    <row r="8" customFormat="false" ht="15" hidden="false" customHeight="false" outlineLevel="0" collapsed="false">
      <c r="A8" s="15" t="s">
        <v>484</v>
      </c>
      <c r="B8" s="15" t="s">
        <v>34</v>
      </c>
      <c r="C8" s="15" t="s">
        <v>485</v>
      </c>
      <c r="D8" s="15" t="s">
        <v>486</v>
      </c>
      <c r="E8" s="15" t="s">
        <v>36</v>
      </c>
      <c r="F8" s="14" t="s">
        <v>42</v>
      </c>
      <c r="G8" s="14" t="s">
        <v>42</v>
      </c>
      <c r="H8" s="15"/>
    </row>
    <row r="9" customFormat="false" ht="15" hidden="false" customHeight="false" outlineLevel="0" collapsed="false">
      <c r="A9" s="13" t="s">
        <v>487</v>
      </c>
      <c r="B9" s="13" t="s">
        <v>34</v>
      </c>
      <c r="C9" s="13" t="s">
        <v>488</v>
      </c>
      <c r="D9" s="13" t="s">
        <v>489</v>
      </c>
      <c r="E9" s="13" t="s">
        <v>36</v>
      </c>
      <c r="F9" s="14" t="s">
        <v>42</v>
      </c>
      <c r="G9" s="14" t="s">
        <v>42</v>
      </c>
      <c r="H9" s="13"/>
    </row>
    <row r="10" customFormat="false" ht="15" hidden="false" customHeight="false" outlineLevel="0" collapsed="false">
      <c r="A10" s="15" t="s">
        <v>490</v>
      </c>
      <c r="B10" s="15" t="s">
        <v>40</v>
      </c>
      <c r="C10" s="15" t="s">
        <v>491</v>
      </c>
      <c r="D10" s="15" t="s">
        <v>492</v>
      </c>
      <c r="E10" s="15" t="s">
        <v>36</v>
      </c>
      <c r="F10" s="14" t="s">
        <v>42</v>
      </c>
      <c r="G10" s="14" t="s">
        <v>42</v>
      </c>
      <c r="H10" s="15"/>
    </row>
    <row r="11" customFormat="false" ht="15" hidden="false" customHeight="false" outlineLevel="0" collapsed="false">
      <c r="A11" s="13" t="s">
        <v>493</v>
      </c>
      <c r="B11" s="13" t="s">
        <v>40</v>
      </c>
      <c r="C11" s="13" t="s">
        <v>494</v>
      </c>
      <c r="D11" s="13" t="s">
        <v>495</v>
      </c>
      <c r="E11" s="13" t="s">
        <v>36</v>
      </c>
      <c r="F11" s="14" t="s">
        <v>42</v>
      </c>
      <c r="G11" s="14" t="s">
        <v>42</v>
      </c>
      <c r="H11" s="13"/>
    </row>
    <row r="12" customFormat="false" ht="15" hidden="false" customHeight="false" outlineLevel="0" collapsed="false">
      <c r="A12" s="15" t="s">
        <v>496</v>
      </c>
      <c r="B12" s="15" t="s">
        <v>40</v>
      </c>
      <c r="C12" s="15" t="s">
        <v>497</v>
      </c>
      <c r="D12" s="15" t="s">
        <v>498</v>
      </c>
      <c r="E12" s="15" t="s">
        <v>36</v>
      </c>
      <c r="F12" s="14" t="s">
        <v>42</v>
      </c>
      <c r="G12" s="14" t="s">
        <v>42</v>
      </c>
      <c r="H12" s="15"/>
    </row>
    <row r="13" customFormat="false" ht="15" hidden="false" customHeight="false" outlineLevel="0" collapsed="false">
      <c r="A13" s="13" t="s">
        <v>499</v>
      </c>
      <c r="B13" s="13" t="s">
        <v>64</v>
      </c>
      <c r="C13" s="13" t="s">
        <v>500</v>
      </c>
      <c r="D13" s="13" t="s">
        <v>501</v>
      </c>
      <c r="E13" s="13" t="s">
        <v>36</v>
      </c>
      <c r="F13" s="14" t="s">
        <v>42</v>
      </c>
      <c r="G13" s="14" t="s">
        <v>42</v>
      </c>
      <c r="H13" s="13"/>
    </row>
    <row r="14" customFormat="false" ht="15" hidden="false" customHeight="false" outlineLevel="0" collapsed="false">
      <c r="A14" s="15" t="s">
        <v>502</v>
      </c>
      <c r="B14" s="15" t="s">
        <v>64</v>
      </c>
      <c r="C14" s="15" t="s">
        <v>503</v>
      </c>
      <c r="D14" s="15" t="s">
        <v>504</v>
      </c>
      <c r="E14" s="15" t="s">
        <v>36</v>
      </c>
      <c r="F14" s="14" t="s">
        <v>42</v>
      </c>
      <c r="G14" s="14" t="s">
        <v>42</v>
      </c>
      <c r="H14" s="15"/>
    </row>
    <row r="15" customFormat="false" ht="15" hidden="false" customHeight="false" outlineLevel="0" collapsed="false">
      <c r="A15" s="13" t="s">
        <v>505</v>
      </c>
      <c r="B15" s="13" t="s">
        <v>64</v>
      </c>
      <c r="C15" s="13" t="s">
        <v>506</v>
      </c>
      <c r="D15" s="13" t="s">
        <v>507</v>
      </c>
      <c r="E15" s="13" t="s">
        <v>36</v>
      </c>
      <c r="F15" s="14" t="s">
        <v>42</v>
      </c>
      <c r="G15" s="14" t="s">
        <v>42</v>
      </c>
      <c r="H15" s="13"/>
    </row>
    <row r="16" customFormat="false" ht="15" hidden="false" customHeight="false" outlineLevel="0" collapsed="false">
      <c r="A16" s="15" t="s">
        <v>508</v>
      </c>
      <c r="B16" s="15" t="s">
        <v>64</v>
      </c>
      <c r="C16" s="15" t="s">
        <v>509</v>
      </c>
      <c r="D16" s="15" t="s">
        <v>510</v>
      </c>
      <c r="E16" s="15" t="s">
        <v>36</v>
      </c>
      <c r="F16" s="14" t="s">
        <v>42</v>
      </c>
      <c r="G16" s="14" t="s">
        <v>42</v>
      </c>
      <c r="H16" s="15"/>
    </row>
    <row r="17" customFormat="false" ht="15" hidden="false" customHeight="false" outlineLevel="0" collapsed="false">
      <c r="A17" s="13" t="s">
        <v>511</v>
      </c>
      <c r="B17" s="13" t="s">
        <v>64</v>
      </c>
      <c r="C17" s="13" t="s">
        <v>512</v>
      </c>
      <c r="D17" s="13" t="s">
        <v>513</v>
      </c>
      <c r="E17" s="13" t="s">
        <v>36</v>
      </c>
      <c r="F17" s="14" t="s">
        <v>42</v>
      </c>
      <c r="G17" s="14" t="s">
        <v>42</v>
      </c>
      <c r="H17" s="13"/>
    </row>
    <row r="18" customFormat="false" ht="15" hidden="false" customHeight="false" outlineLevel="0" collapsed="false">
      <c r="A18" s="15" t="s">
        <v>514</v>
      </c>
      <c r="B18" s="15" t="s">
        <v>71</v>
      </c>
      <c r="C18" s="15" t="s">
        <v>515</v>
      </c>
      <c r="D18" s="15" t="s">
        <v>516</v>
      </c>
      <c r="E18" s="15" t="s">
        <v>36</v>
      </c>
      <c r="F18" s="14" t="s">
        <v>42</v>
      </c>
      <c r="G18" s="14" t="s">
        <v>42</v>
      </c>
      <c r="H18" s="15"/>
    </row>
    <row r="19" customFormat="false" ht="15" hidden="false" customHeight="false" outlineLevel="0" collapsed="false">
      <c r="A19" s="13" t="s">
        <v>517</v>
      </c>
      <c r="B19" s="13" t="s">
        <v>71</v>
      </c>
      <c r="C19" s="13" t="s">
        <v>518</v>
      </c>
      <c r="D19" s="13" t="s">
        <v>519</v>
      </c>
      <c r="E19" s="13" t="s">
        <v>36</v>
      </c>
      <c r="F19" s="14" t="s">
        <v>42</v>
      </c>
      <c r="G19" s="14" t="s">
        <v>42</v>
      </c>
      <c r="H19" s="13"/>
    </row>
    <row r="20" customFormat="false" ht="15" hidden="false" customHeight="false" outlineLevel="0" collapsed="false">
      <c r="A20" s="15" t="s">
        <v>520</v>
      </c>
      <c r="B20" s="15" t="s">
        <v>71</v>
      </c>
      <c r="C20" s="15" t="s">
        <v>521</v>
      </c>
      <c r="D20" s="15" t="s">
        <v>522</v>
      </c>
      <c r="E20" s="15" t="s">
        <v>36</v>
      </c>
      <c r="F20" s="14" t="s">
        <v>42</v>
      </c>
      <c r="G20" s="14" t="s">
        <v>42</v>
      </c>
      <c r="H20" s="15"/>
    </row>
    <row r="21" customFormat="false" ht="15" hidden="false" customHeight="false" outlineLevel="0" collapsed="false">
      <c r="A21" s="13" t="s">
        <v>523</v>
      </c>
      <c r="B21" s="13" t="s">
        <v>71</v>
      </c>
      <c r="C21" s="13" t="s">
        <v>524</v>
      </c>
      <c r="D21" s="13" t="s">
        <v>525</v>
      </c>
      <c r="E21" s="13" t="s">
        <v>36</v>
      </c>
      <c r="F21" s="14" t="s">
        <v>42</v>
      </c>
      <c r="G21" s="14" t="s">
        <v>42</v>
      </c>
      <c r="H21" s="13"/>
    </row>
    <row r="22" customFormat="false" ht="15" hidden="false" customHeight="false" outlineLevel="0" collapsed="false">
      <c r="A22" s="15" t="s">
        <v>526</v>
      </c>
      <c r="B22" s="15" t="s">
        <v>71</v>
      </c>
      <c r="C22" s="15" t="s">
        <v>527</v>
      </c>
      <c r="D22" s="15" t="s">
        <v>528</v>
      </c>
      <c r="E22" s="15" t="s">
        <v>36</v>
      </c>
      <c r="F22" s="14" t="s">
        <v>42</v>
      </c>
      <c r="G22" s="14" t="s">
        <v>42</v>
      </c>
      <c r="H22" s="15"/>
    </row>
    <row r="23" customFormat="false" ht="15" hidden="false" customHeight="false" outlineLevel="0" collapsed="false">
      <c r="A23" s="13" t="s">
        <v>529</v>
      </c>
      <c r="B23" s="13" t="s">
        <v>71</v>
      </c>
      <c r="C23" s="13" t="s">
        <v>530</v>
      </c>
      <c r="D23" s="13" t="s">
        <v>531</v>
      </c>
      <c r="E23" s="13" t="s">
        <v>36</v>
      </c>
      <c r="F23" s="14" t="s">
        <v>42</v>
      </c>
      <c r="G23" s="14" t="s">
        <v>42</v>
      </c>
      <c r="H23" s="13"/>
    </row>
    <row r="24" customFormat="false" ht="15" hidden="false" customHeight="false" outlineLevel="0" collapsed="false">
      <c r="A24" s="15" t="s">
        <v>532</v>
      </c>
      <c r="B24" s="15" t="s">
        <v>71</v>
      </c>
      <c r="C24" s="15" t="s">
        <v>533</v>
      </c>
      <c r="D24" s="15" t="s">
        <v>534</v>
      </c>
      <c r="E24" s="15" t="s">
        <v>36</v>
      </c>
      <c r="F24" s="14" t="s">
        <v>42</v>
      </c>
      <c r="G24" s="14" t="s">
        <v>42</v>
      </c>
      <c r="H24" s="15"/>
    </row>
    <row r="25" customFormat="false" ht="15" hidden="false" customHeight="false" outlineLevel="0" collapsed="false">
      <c r="A25" s="13" t="s">
        <v>535</v>
      </c>
      <c r="B25" s="13" t="s">
        <v>71</v>
      </c>
      <c r="C25" s="13" t="s">
        <v>536</v>
      </c>
      <c r="D25" s="13" t="s">
        <v>537</v>
      </c>
      <c r="E25" s="13" t="s">
        <v>36</v>
      </c>
      <c r="F25" s="14" t="s">
        <v>42</v>
      </c>
      <c r="G25" s="14" t="s">
        <v>42</v>
      </c>
      <c r="H25" s="13"/>
    </row>
    <row r="26" customFormat="false" ht="15" hidden="false" customHeight="false" outlineLevel="0" collapsed="false">
      <c r="A26" s="15" t="s">
        <v>538</v>
      </c>
      <c r="B26" s="15" t="s">
        <v>71</v>
      </c>
      <c r="C26" s="15" t="s">
        <v>539</v>
      </c>
      <c r="D26" s="15" t="s">
        <v>540</v>
      </c>
      <c r="E26" s="15" t="s">
        <v>36</v>
      </c>
      <c r="F26" s="14" t="s">
        <v>42</v>
      </c>
      <c r="G26" s="14" t="s">
        <v>42</v>
      </c>
      <c r="H26" s="15"/>
    </row>
    <row r="27" customFormat="false" ht="15" hidden="false" customHeight="false" outlineLevel="0" collapsed="false">
      <c r="A27" s="13" t="s">
        <v>541</v>
      </c>
      <c r="B27" s="13" t="s">
        <v>71</v>
      </c>
      <c r="C27" s="13" t="s">
        <v>78</v>
      </c>
      <c r="D27" s="13" t="s">
        <v>542</v>
      </c>
      <c r="E27" s="13" t="s">
        <v>36</v>
      </c>
      <c r="F27" s="14" t="s">
        <v>42</v>
      </c>
      <c r="G27" s="14" t="s">
        <v>42</v>
      </c>
      <c r="H27" s="13"/>
    </row>
    <row r="28" customFormat="false" ht="15" hidden="false" customHeight="false" outlineLevel="0" collapsed="false">
      <c r="A28" s="15" t="s">
        <v>543</v>
      </c>
      <c r="B28" s="15" t="s">
        <v>71</v>
      </c>
      <c r="C28" s="15" t="s">
        <v>544</v>
      </c>
      <c r="D28" s="15" t="s">
        <v>545</v>
      </c>
      <c r="E28" s="15" t="s">
        <v>36</v>
      </c>
      <c r="F28" s="14" t="s">
        <v>42</v>
      </c>
      <c r="G28" s="14" t="s">
        <v>42</v>
      </c>
      <c r="H28" s="15"/>
    </row>
    <row r="29" customFormat="false" ht="15" hidden="false" customHeight="false" outlineLevel="0" collapsed="false">
      <c r="A29" s="13" t="s">
        <v>546</v>
      </c>
      <c r="B29" s="13" t="s">
        <v>71</v>
      </c>
      <c r="C29" s="13" t="s">
        <v>547</v>
      </c>
      <c r="D29" s="13" t="s">
        <v>548</v>
      </c>
      <c r="E29" s="13" t="s">
        <v>36</v>
      </c>
      <c r="F29" s="14" t="s">
        <v>42</v>
      </c>
      <c r="G29" s="14" t="s">
        <v>42</v>
      </c>
      <c r="H29" s="13"/>
    </row>
    <row r="30" customFormat="false" ht="15" hidden="false" customHeight="false" outlineLevel="0" collapsed="false">
      <c r="A30" s="15" t="s">
        <v>549</v>
      </c>
      <c r="B30" s="15" t="s">
        <v>71</v>
      </c>
      <c r="C30" s="15" t="s">
        <v>123</v>
      </c>
      <c r="D30" s="15" t="s">
        <v>550</v>
      </c>
      <c r="E30" s="15" t="s">
        <v>36</v>
      </c>
      <c r="F30" s="14" t="s">
        <v>42</v>
      </c>
      <c r="G30" s="14" t="s">
        <v>42</v>
      </c>
      <c r="H30" s="15"/>
    </row>
    <row r="31" customFormat="false" ht="15" hidden="false" customHeight="false" outlineLevel="0" collapsed="false">
      <c r="A31" s="13" t="s">
        <v>551</v>
      </c>
      <c r="B31" s="13" t="s">
        <v>71</v>
      </c>
      <c r="C31" s="13" t="s">
        <v>552</v>
      </c>
      <c r="D31" s="13" t="s">
        <v>553</v>
      </c>
      <c r="E31" s="13" t="s">
        <v>36</v>
      </c>
      <c r="F31" s="14" t="s">
        <v>42</v>
      </c>
      <c r="G31" s="14" t="s">
        <v>42</v>
      </c>
      <c r="H31" s="13"/>
    </row>
    <row r="32" customFormat="false" ht="15" hidden="false" customHeight="false" outlineLevel="0" collapsed="false">
      <c r="A32" s="15" t="s">
        <v>554</v>
      </c>
      <c r="B32" s="15" t="s">
        <v>71</v>
      </c>
      <c r="C32" s="15" t="s">
        <v>555</v>
      </c>
      <c r="D32" s="15" t="s">
        <v>556</v>
      </c>
      <c r="E32" s="15" t="s">
        <v>36</v>
      </c>
      <c r="F32" s="14" t="s">
        <v>42</v>
      </c>
      <c r="G32" s="14" t="s">
        <v>42</v>
      </c>
      <c r="H32" s="15"/>
    </row>
    <row r="33" customFormat="false" ht="15" hidden="false" customHeight="false" outlineLevel="0" collapsed="false">
      <c r="A33" s="13" t="s">
        <v>557</v>
      </c>
      <c r="B33" s="13" t="s">
        <v>71</v>
      </c>
      <c r="C33" s="13" t="s">
        <v>558</v>
      </c>
      <c r="D33" s="13" t="s">
        <v>559</v>
      </c>
      <c r="E33" s="13" t="s">
        <v>36</v>
      </c>
      <c r="F33" s="14" t="s">
        <v>42</v>
      </c>
      <c r="G33" s="14" t="s">
        <v>42</v>
      </c>
      <c r="H33" s="13"/>
    </row>
    <row r="34" customFormat="false" ht="15" hidden="false" customHeight="false" outlineLevel="0" collapsed="false">
      <c r="A34" s="15" t="s">
        <v>560</v>
      </c>
      <c r="B34" s="15" t="s">
        <v>101</v>
      </c>
      <c r="C34" s="15" t="s">
        <v>561</v>
      </c>
      <c r="D34" s="15" t="s">
        <v>562</v>
      </c>
      <c r="E34" s="15" t="s">
        <v>36</v>
      </c>
      <c r="F34" s="14" t="s">
        <v>42</v>
      </c>
      <c r="G34" s="14" t="s">
        <v>42</v>
      </c>
      <c r="H34" s="15"/>
    </row>
    <row r="35" customFormat="false" ht="15" hidden="false" customHeight="false" outlineLevel="0" collapsed="false">
      <c r="A35" s="13" t="s">
        <v>563</v>
      </c>
      <c r="B35" s="13" t="s">
        <v>101</v>
      </c>
      <c r="C35" s="13" t="s">
        <v>564</v>
      </c>
      <c r="D35" s="13" t="s">
        <v>565</v>
      </c>
      <c r="E35" s="13" t="s">
        <v>36</v>
      </c>
      <c r="F35" s="14" t="s">
        <v>42</v>
      </c>
      <c r="G35" s="14" t="s">
        <v>42</v>
      </c>
      <c r="H35" s="13"/>
    </row>
    <row r="36" customFormat="false" ht="15" hidden="false" customHeight="false" outlineLevel="0" collapsed="false">
      <c r="A36" s="15" t="s">
        <v>566</v>
      </c>
      <c r="B36" s="15" t="s">
        <v>101</v>
      </c>
      <c r="C36" s="15" t="s">
        <v>567</v>
      </c>
      <c r="D36" s="15" t="s">
        <v>568</v>
      </c>
      <c r="E36" s="15" t="s">
        <v>36</v>
      </c>
      <c r="F36" s="14" t="s">
        <v>42</v>
      </c>
      <c r="G36" s="14" t="s">
        <v>42</v>
      </c>
      <c r="H36" s="15"/>
    </row>
    <row r="37" customFormat="false" ht="15" hidden="false" customHeight="false" outlineLevel="0" collapsed="false">
      <c r="A37" s="13" t="s">
        <v>569</v>
      </c>
      <c r="B37" s="13" t="s">
        <v>101</v>
      </c>
      <c r="C37" s="13" t="s">
        <v>570</v>
      </c>
      <c r="D37" s="13" t="s">
        <v>571</v>
      </c>
      <c r="E37" s="13" t="s">
        <v>36</v>
      </c>
      <c r="F37" s="14" t="s">
        <v>42</v>
      </c>
      <c r="G37" s="14" t="s">
        <v>42</v>
      </c>
      <c r="H37" s="13"/>
    </row>
    <row r="38" customFormat="false" ht="15" hidden="false" customHeight="false" outlineLevel="0" collapsed="false">
      <c r="A38" s="15" t="s">
        <v>572</v>
      </c>
      <c r="B38" s="15" t="s">
        <v>101</v>
      </c>
      <c r="C38" s="15" t="s">
        <v>573</v>
      </c>
      <c r="D38" s="15" t="s">
        <v>574</v>
      </c>
      <c r="E38" s="15" t="s">
        <v>36</v>
      </c>
      <c r="F38" s="14" t="s">
        <v>42</v>
      </c>
      <c r="G38" s="14" t="s">
        <v>42</v>
      </c>
      <c r="H38" s="15"/>
    </row>
    <row r="39" customFormat="false" ht="15" hidden="false" customHeight="false" outlineLevel="0" collapsed="false">
      <c r="A39" s="13" t="s">
        <v>575</v>
      </c>
      <c r="B39" s="13" t="s">
        <v>101</v>
      </c>
      <c r="C39" s="13" t="s">
        <v>576</v>
      </c>
      <c r="D39" s="13" t="s">
        <v>577</v>
      </c>
      <c r="E39" s="13" t="s">
        <v>36</v>
      </c>
      <c r="F39" s="14" t="s">
        <v>42</v>
      </c>
      <c r="G39" s="14" t="s">
        <v>42</v>
      </c>
      <c r="H39" s="13"/>
    </row>
    <row r="40" customFormat="false" ht="15" hidden="false" customHeight="false" outlineLevel="0" collapsed="false">
      <c r="A40" s="15" t="s">
        <v>578</v>
      </c>
      <c r="B40" s="15" t="s">
        <v>101</v>
      </c>
      <c r="C40" s="15" t="s">
        <v>579</v>
      </c>
      <c r="D40" s="15" t="s">
        <v>580</v>
      </c>
      <c r="E40" s="15" t="s">
        <v>36</v>
      </c>
      <c r="F40" s="14" t="s">
        <v>42</v>
      </c>
      <c r="G40" s="14" t="s">
        <v>42</v>
      </c>
      <c r="H40" s="15"/>
    </row>
    <row r="41" customFormat="false" ht="15" hidden="false" customHeight="false" outlineLevel="0" collapsed="false">
      <c r="A41" s="13" t="s">
        <v>581</v>
      </c>
      <c r="B41" s="13" t="s">
        <v>149</v>
      </c>
      <c r="C41" s="13" t="s">
        <v>582</v>
      </c>
      <c r="D41" s="13" t="s">
        <v>583</v>
      </c>
      <c r="E41" s="13" t="s">
        <v>36</v>
      </c>
      <c r="F41" s="14" t="s">
        <v>42</v>
      </c>
      <c r="G41" s="14" t="s">
        <v>42</v>
      </c>
      <c r="H41" s="13"/>
    </row>
    <row r="42" customFormat="false" ht="15" hidden="false" customHeight="false" outlineLevel="0" collapsed="false">
      <c r="A42" s="15" t="s">
        <v>584</v>
      </c>
      <c r="B42" s="15" t="s">
        <v>149</v>
      </c>
      <c r="C42" s="15" t="s">
        <v>585</v>
      </c>
      <c r="D42" s="15" t="s">
        <v>586</v>
      </c>
      <c r="E42" s="15" t="s">
        <v>36</v>
      </c>
      <c r="F42" s="14" t="s">
        <v>42</v>
      </c>
      <c r="G42" s="14" t="s">
        <v>42</v>
      </c>
      <c r="H42" s="15"/>
    </row>
    <row r="43" customFormat="false" ht="15" hidden="false" customHeight="false" outlineLevel="0" collapsed="false">
      <c r="A43" s="13" t="s">
        <v>587</v>
      </c>
      <c r="B43" s="13" t="s">
        <v>149</v>
      </c>
      <c r="C43" s="13" t="s">
        <v>588</v>
      </c>
      <c r="D43" s="13" t="s">
        <v>589</v>
      </c>
      <c r="E43" s="13" t="s">
        <v>36</v>
      </c>
      <c r="F43" s="14" t="s">
        <v>42</v>
      </c>
      <c r="G43" s="14" t="s">
        <v>42</v>
      </c>
      <c r="H43" s="13"/>
    </row>
    <row r="44" customFormat="false" ht="15" hidden="false" customHeight="false" outlineLevel="0" collapsed="false">
      <c r="A44" s="15" t="s">
        <v>590</v>
      </c>
      <c r="B44" s="15" t="s">
        <v>149</v>
      </c>
      <c r="C44" s="15" t="s">
        <v>591</v>
      </c>
      <c r="D44" s="15" t="s">
        <v>592</v>
      </c>
      <c r="E44" s="15" t="s">
        <v>36</v>
      </c>
      <c r="F44" s="14" t="s">
        <v>42</v>
      </c>
      <c r="G44" s="14" t="s">
        <v>42</v>
      </c>
      <c r="H44" s="15"/>
    </row>
    <row r="45" customFormat="false" ht="15" hidden="false" customHeight="false" outlineLevel="0" collapsed="false">
      <c r="A45" s="13" t="s">
        <v>593</v>
      </c>
      <c r="B45" s="13" t="s">
        <v>149</v>
      </c>
      <c r="C45" s="13" t="s">
        <v>594</v>
      </c>
      <c r="D45" s="13" t="s">
        <v>595</v>
      </c>
      <c r="E45" s="13" t="s">
        <v>36</v>
      </c>
      <c r="F45" s="14" t="s">
        <v>42</v>
      </c>
      <c r="G45" s="14" t="s">
        <v>42</v>
      </c>
      <c r="H45" s="13"/>
    </row>
    <row r="46" customFormat="false" ht="15" hidden="false" customHeight="false" outlineLevel="0" collapsed="false">
      <c r="A46" s="15" t="s">
        <v>596</v>
      </c>
      <c r="B46" s="15" t="s">
        <v>149</v>
      </c>
      <c r="C46" s="15" t="s">
        <v>597</v>
      </c>
      <c r="D46" s="15" t="s">
        <v>598</v>
      </c>
      <c r="E46" s="15" t="s">
        <v>36</v>
      </c>
      <c r="F46" s="14" t="s">
        <v>42</v>
      </c>
      <c r="G46" s="14" t="s">
        <v>42</v>
      </c>
      <c r="H46" s="15"/>
    </row>
    <row r="47" customFormat="false" ht="15" hidden="false" customHeight="false" outlineLevel="0" collapsed="false">
      <c r="A47" s="13" t="s">
        <v>599</v>
      </c>
      <c r="B47" s="13" t="s">
        <v>142</v>
      </c>
      <c r="C47" s="13" t="s">
        <v>600</v>
      </c>
      <c r="D47" s="13" t="s">
        <v>601</v>
      </c>
      <c r="E47" s="13" t="s">
        <v>36</v>
      </c>
      <c r="F47" s="14" t="s">
        <v>42</v>
      </c>
      <c r="G47" s="14" t="s">
        <v>42</v>
      </c>
      <c r="H47" s="13"/>
    </row>
    <row r="48" customFormat="false" ht="15" hidden="false" customHeight="false" outlineLevel="0" collapsed="false">
      <c r="A48" s="15" t="s">
        <v>602</v>
      </c>
      <c r="B48" s="15" t="s">
        <v>142</v>
      </c>
      <c r="C48" s="15" t="s">
        <v>603</v>
      </c>
      <c r="D48" s="15" t="s">
        <v>444</v>
      </c>
      <c r="E48" s="15" t="s">
        <v>36</v>
      </c>
      <c r="F48" s="14" t="s">
        <v>42</v>
      </c>
      <c r="G48" s="14" t="s">
        <v>42</v>
      </c>
      <c r="H48" s="15"/>
    </row>
    <row r="49" customFormat="false" ht="15" hidden="false" customHeight="false" outlineLevel="0" collapsed="false">
      <c r="A49" s="13" t="s">
        <v>604</v>
      </c>
      <c r="B49" s="13" t="s">
        <v>142</v>
      </c>
      <c r="C49" s="13" t="s">
        <v>605</v>
      </c>
      <c r="D49" s="13" t="s">
        <v>606</v>
      </c>
      <c r="E49" s="13" t="s">
        <v>36</v>
      </c>
      <c r="F49" s="14" t="s">
        <v>42</v>
      </c>
      <c r="G49" s="14" t="s">
        <v>42</v>
      </c>
      <c r="H49" s="13"/>
    </row>
    <row r="50" customFormat="false" ht="15" hidden="false" customHeight="false" outlineLevel="0" collapsed="false">
      <c r="A50" s="15" t="s">
        <v>607</v>
      </c>
      <c r="B50" s="15" t="s">
        <v>175</v>
      </c>
      <c r="C50" s="15" t="s">
        <v>608</v>
      </c>
      <c r="D50" s="15" t="s">
        <v>609</v>
      </c>
      <c r="E50" s="15" t="s">
        <v>36</v>
      </c>
      <c r="F50" s="14" t="s">
        <v>42</v>
      </c>
      <c r="G50" s="14" t="s">
        <v>42</v>
      </c>
      <c r="H50" s="15"/>
    </row>
    <row r="51" customFormat="false" ht="15" hidden="false" customHeight="false" outlineLevel="0" collapsed="false">
      <c r="A51" s="13" t="s">
        <v>610</v>
      </c>
      <c r="B51" s="13" t="s">
        <v>175</v>
      </c>
      <c r="C51" s="13" t="s">
        <v>611</v>
      </c>
      <c r="D51" s="13" t="s">
        <v>612</v>
      </c>
      <c r="E51" s="13" t="s">
        <v>36</v>
      </c>
      <c r="F51" s="14" t="s">
        <v>42</v>
      </c>
      <c r="G51" s="14" t="s">
        <v>42</v>
      </c>
      <c r="H51" s="13"/>
    </row>
    <row r="52" customFormat="false" ht="15" hidden="false" customHeight="false" outlineLevel="0" collapsed="false">
      <c r="A52" s="15" t="s">
        <v>613</v>
      </c>
      <c r="B52" s="15" t="s">
        <v>175</v>
      </c>
      <c r="C52" s="15" t="s">
        <v>614</v>
      </c>
      <c r="D52" s="15" t="s">
        <v>615</v>
      </c>
      <c r="E52" s="15" t="s">
        <v>36</v>
      </c>
      <c r="F52" s="14" t="s">
        <v>42</v>
      </c>
      <c r="G52" s="14" t="s">
        <v>42</v>
      </c>
      <c r="H52" s="15"/>
    </row>
    <row r="53" customFormat="false" ht="15" hidden="false" customHeight="false" outlineLevel="0" collapsed="false">
      <c r="A53" s="13" t="s">
        <v>616</v>
      </c>
      <c r="B53" s="13" t="s">
        <v>175</v>
      </c>
      <c r="C53" s="13" t="s">
        <v>617</v>
      </c>
      <c r="D53" s="13" t="s">
        <v>618</v>
      </c>
      <c r="E53" s="13" t="s">
        <v>36</v>
      </c>
      <c r="F53" s="14" t="s">
        <v>42</v>
      </c>
      <c r="G53" s="14" t="s">
        <v>42</v>
      </c>
      <c r="H53" s="13"/>
    </row>
    <row r="54" customFormat="false" ht="15" hidden="false" customHeight="false" outlineLevel="0" collapsed="false">
      <c r="A54" s="15" t="s">
        <v>619</v>
      </c>
      <c r="B54" s="15" t="s">
        <v>175</v>
      </c>
      <c r="C54" s="15" t="s">
        <v>620</v>
      </c>
      <c r="D54" s="15" t="s">
        <v>621</v>
      </c>
      <c r="E54" s="15" t="s">
        <v>36</v>
      </c>
      <c r="F54" s="14" t="s">
        <v>42</v>
      </c>
      <c r="G54" s="14" t="s">
        <v>42</v>
      </c>
      <c r="H54" s="15"/>
    </row>
    <row r="55" customFormat="false" ht="15" hidden="false" customHeight="false" outlineLevel="0" collapsed="false">
      <c r="A55" s="13" t="s">
        <v>622</v>
      </c>
      <c r="B55" s="13" t="s">
        <v>179</v>
      </c>
      <c r="C55" s="13" t="s">
        <v>182</v>
      </c>
      <c r="D55" s="13" t="s">
        <v>623</v>
      </c>
      <c r="E55" s="13" t="s">
        <v>36</v>
      </c>
      <c r="F55" s="14" t="s">
        <v>42</v>
      </c>
      <c r="G55" s="14" t="s">
        <v>42</v>
      </c>
      <c r="H55" s="13"/>
    </row>
    <row r="56" customFormat="false" ht="15" hidden="false" customHeight="false" outlineLevel="0" collapsed="false">
      <c r="A56" s="15" t="s">
        <v>624</v>
      </c>
      <c r="B56" s="15" t="s">
        <v>179</v>
      </c>
      <c r="C56" s="15" t="s">
        <v>625</v>
      </c>
      <c r="D56" s="15" t="s">
        <v>626</v>
      </c>
      <c r="E56" s="15" t="s">
        <v>36</v>
      </c>
      <c r="F56" s="14" t="s">
        <v>42</v>
      </c>
      <c r="G56" s="14" t="s">
        <v>42</v>
      </c>
      <c r="H56" s="15"/>
    </row>
    <row r="57" customFormat="false" ht="15" hidden="false" customHeight="false" outlineLevel="0" collapsed="false">
      <c r="A57" s="13" t="s">
        <v>627</v>
      </c>
      <c r="B57" s="13" t="s">
        <v>179</v>
      </c>
      <c r="C57" s="13" t="s">
        <v>191</v>
      </c>
      <c r="D57" s="13" t="s">
        <v>628</v>
      </c>
      <c r="E57" s="13" t="s">
        <v>36</v>
      </c>
      <c r="F57" s="14" t="s">
        <v>42</v>
      </c>
      <c r="G57" s="14" t="s">
        <v>42</v>
      </c>
      <c r="H57" s="13"/>
    </row>
    <row r="58" customFormat="false" ht="15" hidden="false" customHeight="false" outlineLevel="0" collapsed="false">
      <c r="A58" s="15" t="s">
        <v>629</v>
      </c>
      <c r="B58" s="15" t="s">
        <v>179</v>
      </c>
      <c r="C58" s="15" t="s">
        <v>630</v>
      </c>
      <c r="D58" s="15" t="s">
        <v>631</v>
      </c>
      <c r="E58" s="15" t="s">
        <v>36</v>
      </c>
      <c r="F58" s="14" t="s">
        <v>42</v>
      </c>
      <c r="G58" s="14" t="s">
        <v>42</v>
      </c>
      <c r="H58" s="15"/>
    </row>
    <row r="59" customFormat="false" ht="15" hidden="false" customHeight="false" outlineLevel="0" collapsed="false">
      <c r="A59" s="13" t="s">
        <v>632</v>
      </c>
      <c r="B59" s="13" t="s">
        <v>179</v>
      </c>
      <c r="C59" s="13" t="s">
        <v>633</v>
      </c>
      <c r="D59" s="13" t="s">
        <v>634</v>
      </c>
      <c r="E59" s="13" t="s">
        <v>36</v>
      </c>
      <c r="F59" s="14" t="s">
        <v>42</v>
      </c>
      <c r="G59" s="14" t="s">
        <v>42</v>
      </c>
      <c r="H59" s="13"/>
    </row>
    <row r="60" customFormat="false" ht="15" hidden="false" customHeight="false" outlineLevel="0" collapsed="false">
      <c r="A60" s="15" t="s">
        <v>635</v>
      </c>
      <c r="B60" s="15" t="s">
        <v>105</v>
      </c>
      <c r="C60" s="15" t="s">
        <v>636</v>
      </c>
      <c r="D60" s="15" t="s">
        <v>637</v>
      </c>
      <c r="E60" s="15" t="s">
        <v>107</v>
      </c>
      <c r="F60" s="14" t="s">
        <v>42</v>
      </c>
      <c r="G60" s="14" t="s">
        <v>42</v>
      </c>
      <c r="H60" s="15"/>
    </row>
    <row r="61" customFormat="false" ht="15" hidden="false" customHeight="false" outlineLevel="0" collapsed="false">
      <c r="A61" s="13" t="s">
        <v>638</v>
      </c>
      <c r="B61" s="13" t="s">
        <v>105</v>
      </c>
      <c r="C61" s="13" t="s">
        <v>639</v>
      </c>
      <c r="D61" s="13" t="s">
        <v>640</v>
      </c>
      <c r="E61" s="13" t="s">
        <v>107</v>
      </c>
      <c r="F61" s="14" t="s">
        <v>42</v>
      </c>
      <c r="G61" s="14" t="s">
        <v>42</v>
      </c>
      <c r="H61" s="13"/>
    </row>
    <row r="62" customFormat="false" ht="15" hidden="false" customHeight="false" outlineLevel="0" collapsed="false">
      <c r="A62" s="15" t="s">
        <v>641</v>
      </c>
      <c r="B62" s="15" t="s">
        <v>105</v>
      </c>
      <c r="C62" s="15" t="s">
        <v>642</v>
      </c>
      <c r="D62" s="15" t="s">
        <v>643</v>
      </c>
      <c r="E62" s="15" t="s">
        <v>107</v>
      </c>
      <c r="F62" s="14" t="s">
        <v>42</v>
      </c>
      <c r="G62" s="14" t="s">
        <v>42</v>
      </c>
      <c r="H62" s="15"/>
    </row>
    <row r="63" customFormat="false" ht="15" hidden="false" customHeight="false" outlineLevel="0" collapsed="false">
      <c r="A63" s="13" t="s">
        <v>644</v>
      </c>
      <c r="B63" s="13" t="s">
        <v>105</v>
      </c>
      <c r="C63" s="13" t="s">
        <v>645</v>
      </c>
      <c r="D63" s="13" t="s">
        <v>646</v>
      </c>
      <c r="E63" s="13" t="s">
        <v>107</v>
      </c>
      <c r="F63" s="14" t="s">
        <v>42</v>
      </c>
      <c r="G63" s="14" t="s">
        <v>42</v>
      </c>
      <c r="H63" s="13"/>
    </row>
    <row r="64" customFormat="false" ht="15" hidden="false" customHeight="false" outlineLevel="0" collapsed="false">
      <c r="A64" s="15" t="s">
        <v>647</v>
      </c>
      <c r="B64" s="15" t="s">
        <v>105</v>
      </c>
      <c r="C64" s="15" t="s">
        <v>648</v>
      </c>
      <c r="D64" s="15" t="s">
        <v>649</v>
      </c>
      <c r="E64" s="15" t="s">
        <v>107</v>
      </c>
      <c r="F64" s="14" t="s">
        <v>42</v>
      </c>
      <c r="G64" s="14" t="s">
        <v>42</v>
      </c>
      <c r="H64" s="15"/>
    </row>
    <row r="65" customFormat="false" ht="15" hidden="false" customHeight="false" outlineLevel="0" collapsed="false">
      <c r="A65" s="13" t="s">
        <v>650</v>
      </c>
      <c r="B65" s="13" t="s">
        <v>31</v>
      </c>
      <c r="C65" s="13" t="s">
        <v>651</v>
      </c>
      <c r="D65" s="13" t="s">
        <v>652</v>
      </c>
      <c r="E65" s="13" t="s">
        <v>107</v>
      </c>
      <c r="F65" s="14" t="s">
        <v>42</v>
      </c>
      <c r="G65" s="14" t="s">
        <v>42</v>
      </c>
      <c r="H65" s="13"/>
    </row>
    <row r="66" customFormat="false" ht="15" hidden="false" customHeight="false" outlineLevel="0" collapsed="false">
      <c r="A66" s="15" t="s">
        <v>653</v>
      </c>
      <c r="B66" s="15" t="s">
        <v>31</v>
      </c>
      <c r="C66" s="15" t="s">
        <v>654</v>
      </c>
      <c r="D66" s="15" t="s">
        <v>655</v>
      </c>
      <c r="E66" s="15" t="s">
        <v>107</v>
      </c>
      <c r="F66" s="14" t="s">
        <v>42</v>
      </c>
      <c r="G66" s="14" t="s">
        <v>42</v>
      </c>
      <c r="H66" s="15"/>
    </row>
    <row r="67" customFormat="false" ht="15" hidden="false" customHeight="false" outlineLevel="0" collapsed="false">
      <c r="A67" s="13" t="s">
        <v>656</v>
      </c>
      <c r="B67" s="13" t="s">
        <v>31</v>
      </c>
      <c r="C67" s="13" t="s">
        <v>657</v>
      </c>
      <c r="D67" s="13" t="s">
        <v>658</v>
      </c>
      <c r="E67" s="13" t="s">
        <v>107</v>
      </c>
      <c r="F67" s="14" t="s">
        <v>42</v>
      </c>
      <c r="G67" s="14" t="s">
        <v>42</v>
      </c>
      <c r="H67" s="13"/>
    </row>
    <row r="68" customFormat="false" ht="15" hidden="false" customHeight="false" outlineLevel="0" collapsed="false">
      <c r="A68" s="15" t="s">
        <v>659</v>
      </c>
      <c r="B68" s="15" t="s">
        <v>31</v>
      </c>
      <c r="C68" s="15" t="s">
        <v>660</v>
      </c>
      <c r="D68" s="15" t="s">
        <v>661</v>
      </c>
      <c r="E68" s="15" t="s">
        <v>107</v>
      </c>
      <c r="F68" s="14" t="s">
        <v>42</v>
      </c>
      <c r="G68" s="14" t="s">
        <v>42</v>
      </c>
      <c r="H68" s="15"/>
    </row>
    <row r="69" customFormat="false" ht="15" hidden="false" customHeight="false" outlineLevel="0" collapsed="false">
      <c r="A69" s="13" t="s">
        <v>662</v>
      </c>
      <c r="B69" s="13" t="s">
        <v>113</v>
      </c>
      <c r="C69" s="13" t="s">
        <v>663</v>
      </c>
      <c r="D69" s="13" t="s">
        <v>664</v>
      </c>
      <c r="E69" s="13" t="s">
        <v>107</v>
      </c>
      <c r="F69" s="14" t="s">
        <v>42</v>
      </c>
      <c r="G69" s="14" t="s">
        <v>42</v>
      </c>
      <c r="H69" s="13"/>
    </row>
    <row r="70" customFormat="false" ht="15" hidden="false" customHeight="false" outlineLevel="0" collapsed="false">
      <c r="A70" s="15" t="s">
        <v>665</v>
      </c>
      <c r="B70" s="15" t="s">
        <v>113</v>
      </c>
      <c r="C70" s="15" t="s">
        <v>666</v>
      </c>
      <c r="D70" s="15" t="s">
        <v>667</v>
      </c>
      <c r="E70" s="15" t="s">
        <v>107</v>
      </c>
      <c r="F70" s="14" t="s">
        <v>42</v>
      </c>
      <c r="G70" s="14" t="s">
        <v>42</v>
      </c>
      <c r="H70" s="15"/>
    </row>
    <row r="71" customFormat="false" ht="15" hidden="false" customHeight="false" outlineLevel="0" collapsed="false">
      <c r="A71" s="13" t="s">
        <v>668</v>
      </c>
      <c r="B71" s="13" t="s">
        <v>113</v>
      </c>
      <c r="C71" s="13" t="s">
        <v>669</v>
      </c>
      <c r="D71" s="13" t="s">
        <v>670</v>
      </c>
      <c r="E71" s="13" t="s">
        <v>107</v>
      </c>
      <c r="F71" s="14" t="s">
        <v>42</v>
      </c>
      <c r="G71" s="14" t="s">
        <v>42</v>
      </c>
      <c r="H71" s="13"/>
    </row>
    <row r="72" customFormat="false" ht="15" hidden="false" customHeight="false" outlineLevel="0" collapsed="false">
      <c r="A72" s="15" t="s">
        <v>671</v>
      </c>
      <c r="B72" s="15" t="s">
        <v>113</v>
      </c>
      <c r="C72" s="15" t="s">
        <v>672</v>
      </c>
      <c r="D72" s="15" t="s">
        <v>673</v>
      </c>
      <c r="E72" s="15" t="s">
        <v>107</v>
      </c>
      <c r="F72" s="14" t="s">
        <v>42</v>
      </c>
      <c r="G72" s="14" t="s">
        <v>42</v>
      </c>
      <c r="H72" s="15"/>
    </row>
    <row r="73" customFormat="false" ht="15" hidden="false" customHeight="false" outlineLevel="0" collapsed="false">
      <c r="A73" s="13" t="s">
        <v>674</v>
      </c>
      <c r="B73" s="13" t="s">
        <v>117</v>
      </c>
      <c r="C73" s="13" t="s">
        <v>675</v>
      </c>
      <c r="D73" s="13" t="s">
        <v>676</v>
      </c>
      <c r="E73" s="13" t="s">
        <v>107</v>
      </c>
      <c r="F73" s="14" t="s">
        <v>42</v>
      </c>
      <c r="G73" s="14" t="s">
        <v>42</v>
      </c>
      <c r="H73" s="13"/>
    </row>
    <row r="74" customFormat="false" ht="15" hidden="false" customHeight="false" outlineLevel="0" collapsed="false">
      <c r="A74" s="15" t="s">
        <v>677</v>
      </c>
      <c r="B74" s="15" t="s">
        <v>117</v>
      </c>
      <c r="C74" s="15" t="s">
        <v>678</v>
      </c>
      <c r="D74" s="15" t="s">
        <v>679</v>
      </c>
      <c r="E74" s="15" t="s">
        <v>107</v>
      </c>
      <c r="F74" s="14" t="s">
        <v>42</v>
      </c>
      <c r="G74" s="14" t="s">
        <v>42</v>
      </c>
      <c r="H74" s="15"/>
    </row>
    <row r="75" customFormat="false" ht="15" hidden="false" customHeight="false" outlineLevel="0" collapsed="false">
      <c r="A75" s="13" t="s">
        <v>680</v>
      </c>
      <c r="B75" s="13" t="s">
        <v>117</v>
      </c>
      <c r="C75" s="13" t="s">
        <v>681</v>
      </c>
      <c r="D75" s="13" t="s">
        <v>279</v>
      </c>
      <c r="E75" s="13" t="s">
        <v>107</v>
      </c>
      <c r="F75" s="14" t="s">
        <v>42</v>
      </c>
      <c r="G75" s="14" t="s">
        <v>42</v>
      </c>
      <c r="H75" s="13"/>
    </row>
    <row r="76" customFormat="false" ht="15" hidden="false" customHeight="false" outlineLevel="0" collapsed="false">
      <c r="A76" s="15" t="s">
        <v>682</v>
      </c>
      <c r="B76" s="15" t="s">
        <v>117</v>
      </c>
      <c r="C76" s="15" t="s">
        <v>683</v>
      </c>
      <c r="D76" s="15" t="s">
        <v>279</v>
      </c>
      <c r="E76" s="15" t="s">
        <v>107</v>
      </c>
      <c r="F76" s="14" t="s">
        <v>42</v>
      </c>
      <c r="G76" s="14" t="s">
        <v>42</v>
      </c>
      <c r="H76" s="15"/>
    </row>
    <row r="77" customFormat="false" ht="15" hidden="false" customHeight="false" outlineLevel="0" collapsed="false">
      <c r="A77" s="13" t="s">
        <v>684</v>
      </c>
      <c r="B77" s="13" t="s">
        <v>171</v>
      </c>
      <c r="C77" s="13" t="s">
        <v>170</v>
      </c>
      <c r="D77" s="13" t="s">
        <v>685</v>
      </c>
      <c r="E77" s="13" t="s">
        <v>107</v>
      </c>
      <c r="F77" s="14" t="s">
        <v>42</v>
      </c>
      <c r="G77" s="14" t="s">
        <v>42</v>
      </c>
      <c r="H77" s="13"/>
    </row>
    <row r="78" customFormat="false" ht="15" hidden="false" customHeight="false" outlineLevel="0" collapsed="false">
      <c r="A78" s="15" t="s">
        <v>686</v>
      </c>
      <c r="B78" s="15" t="s">
        <v>687</v>
      </c>
      <c r="C78" s="15" t="s">
        <v>688</v>
      </c>
      <c r="D78" s="15" t="s">
        <v>689</v>
      </c>
      <c r="E78" s="15" t="s">
        <v>107</v>
      </c>
      <c r="F78" s="14" t="s">
        <v>42</v>
      </c>
      <c r="G78" s="14" t="s">
        <v>42</v>
      </c>
      <c r="H78" s="15"/>
    </row>
  </sheetData>
  <autoFilter ref="A4:H78"/>
  <conditionalFormatting sqref="F5:F78">
    <cfRule type="cellIs" priority="2" operator="equal" aboveAverage="0" equalAverage="0" bottom="0" percent="0" rank="0" text="" dxfId="8">
      <formula>"Done"</formula>
    </cfRule>
    <cfRule type="cellIs" priority="3" operator="equal" aboveAverage="0" equalAverage="0" bottom="0" percent="0" rank="0" text="" dxfId="9">
      <formula>"In progress"</formula>
    </cfRule>
    <cfRule type="cellIs" priority="4" operator="equal" aboveAverage="0" equalAverage="0" bottom="0" percent="0" rank="0" text="" dxfId="10">
      <formula>"In review"</formula>
    </cfRule>
    <cfRule type="cellIs" priority="5" operator="equal" aboveAverage="0" equalAverage="0" bottom="0" percent="0" rank="0" text="" dxfId="11">
      <formula>"Blocked"</formula>
    </cfRule>
  </conditionalFormatting>
  <conditionalFormatting sqref="G5:G78">
    <cfRule type="cellIs" priority="6" operator="equal" aboveAverage="0" equalAverage="0" bottom="0" percent="0" rank="0" text="" dxfId="8">
      <formula>"Done"</formula>
    </cfRule>
    <cfRule type="cellIs" priority="7" operator="equal" aboveAverage="0" equalAverage="0" bottom="0" percent="0" rank="0" text="" dxfId="9">
      <formula>"In progress"</formula>
    </cfRule>
    <cfRule type="cellIs" priority="8" operator="equal" aboveAverage="0" equalAverage="0" bottom="0" percent="0" rank="0" text="" dxfId="10">
      <formula>"In review"</formula>
    </cfRule>
    <cfRule type="cellIs" priority="9" operator="equal" aboveAverage="0" equalAverage="0" bottom="0" percent="0" rank="0" text="" dxfId="11">
      <formula>"Blocked"</formula>
    </cfRule>
  </conditionalFormatting>
  <dataValidations count="1">
    <dataValidation allowBlank="true" errorStyle="stop" operator="between" showDropDown="false" showErrorMessage="false" showInputMessage="false" sqref="F5:G78" type="list">
      <formula1>"Not started,In progress,In review,Done,Blocked"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34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7" min="6" style="0" width="15"/>
  </cols>
  <sheetData>
    <row r="1" customFormat="false" ht="19.7" hidden="false" customHeight="false" outlineLevel="0" collapsed="false">
      <c r="A1" s="1" t="s">
        <v>690</v>
      </c>
    </row>
    <row r="2" customFormat="false" ht="15" hidden="false" customHeight="false" outlineLevel="0" collapsed="false">
      <c r="A2" s="2" t="s">
        <v>691</v>
      </c>
    </row>
    <row r="4" customFormat="false" ht="27.75" hidden="false" customHeight="true" outlineLevel="0" collapsed="false">
      <c r="A4" s="12" t="s">
        <v>692</v>
      </c>
      <c r="B4" s="12" t="s">
        <v>693</v>
      </c>
      <c r="C4" s="12" t="s">
        <v>694</v>
      </c>
      <c r="D4" s="12" t="s">
        <v>695</v>
      </c>
      <c r="E4" s="12" t="s">
        <v>696</v>
      </c>
      <c r="F4" s="12" t="s">
        <v>30</v>
      </c>
      <c r="G4" s="12" t="s">
        <v>697</v>
      </c>
    </row>
    <row r="5" customFormat="false" ht="15" hidden="false" customHeight="false" outlineLevel="0" collapsed="false">
      <c r="A5" s="13" t="s">
        <v>698</v>
      </c>
      <c r="B5" s="13" t="s">
        <v>699</v>
      </c>
      <c r="C5" s="13" t="s">
        <v>700</v>
      </c>
      <c r="D5" s="13" t="s">
        <v>475</v>
      </c>
      <c r="E5" s="13" t="s">
        <v>701</v>
      </c>
      <c r="F5" s="14" t="s">
        <v>42</v>
      </c>
      <c r="G5" s="14" t="s">
        <v>42</v>
      </c>
    </row>
    <row r="6" customFormat="false" ht="15" hidden="false" customHeight="false" outlineLevel="0" collapsed="false">
      <c r="A6" s="15" t="s">
        <v>698</v>
      </c>
      <c r="B6" s="15" t="s">
        <v>702</v>
      </c>
      <c r="C6" s="15" t="s">
        <v>703</v>
      </c>
      <c r="D6" s="15" t="s">
        <v>475</v>
      </c>
      <c r="E6" s="15" t="s">
        <v>701</v>
      </c>
      <c r="F6" s="14" t="s">
        <v>42</v>
      </c>
      <c r="G6" s="14" t="s">
        <v>42</v>
      </c>
    </row>
    <row r="7" customFormat="false" ht="15" hidden="false" customHeight="false" outlineLevel="0" collapsed="false">
      <c r="A7" s="13" t="s">
        <v>698</v>
      </c>
      <c r="B7" s="13" t="s">
        <v>704</v>
      </c>
      <c r="C7" s="13" t="s">
        <v>705</v>
      </c>
      <c r="D7" s="13" t="s">
        <v>478</v>
      </c>
      <c r="E7" s="13" t="s">
        <v>701</v>
      </c>
      <c r="F7" s="14" t="s">
        <v>42</v>
      </c>
      <c r="G7" s="14" t="s">
        <v>42</v>
      </c>
    </row>
    <row r="8" customFormat="false" ht="15" hidden="false" customHeight="false" outlineLevel="0" collapsed="false">
      <c r="A8" s="15" t="s">
        <v>698</v>
      </c>
      <c r="B8" s="15" t="s">
        <v>706</v>
      </c>
      <c r="C8" s="15" t="s">
        <v>707</v>
      </c>
      <c r="D8" s="15" t="s">
        <v>481</v>
      </c>
      <c r="E8" s="15" t="s">
        <v>701</v>
      </c>
      <c r="F8" s="14" t="s">
        <v>42</v>
      </c>
      <c r="G8" s="14" t="s">
        <v>42</v>
      </c>
    </row>
    <row r="9" customFormat="false" ht="15" hidden="false" customHeight="false" outlineLevel="0" collapsed="false">
      <c r="A9" s="13" t="s">
        <v>698</v>
      </c>
      <c r="B9" s="13" t="s">
        <v>708</v>
      </c>
      <c r="C9" s="13" t="s">
        <v>709</v>
      </c>
      <c r="D9" s="13" t="s">
        <v>487</v>
      </c>
      <c r="E9" s="13" t="s">
        <v>710</v>
      </c>
      <c r="F9" s="14" t="s">
        <v>42</v>
      </c>
      <c r="G9" s="14" t="s">
        <v>42</v>
      </c>
    </row>
    <row r="10" customFormat="false" ht="15" hidden="false" customHeight="false" outlineLevel="0" collapsed="false">
      <c r="A10" s="15" t="s">
        <v>711</v>
      </c>
      <c r="B10" s="15" t="s">
        <v>712</v>
      </c>
      <c r="C10" s="15" t="s">
        <v>713</v>
      </c>
      <c r="D10" s="15" t="s">
        <v>622</v>
      </c>
      <c r="E10" s="15" t="s">
        <v>710</v>
      </c>
      <c r="F10" s="14" t="s">
        <v>42</v>
      </c>
      <c r="G10" s="14" t="s">
        <v>42</v>
      </c>
    </row>
    <row r="11" customFormat="false" ht="15" hidden="false" customHeight="false" outlineLevel="0" collapsed="false">
      <c r="A11" s="13" t="s">
        <v>714</v>
      </c>
      <c r="B11" s="13" t="s">
        <v>712</v>
      </c>
      <c r="C11" s="13" t="s">
        <v>715</v>
      </c>
      <c r="D11" s="13" t="s">
        <v>716</v>
      </c>
      <c r="E11" s="13" t="s">
        <v>710</v>
      </c>
      <c r="F11" s="14" t="s">
        <v>42</v>
      </c>
      <c r="G11" s="14" t="s">
        <v>42</v>
      </c>
    </row>
    <row r="12" customFormat="false" ht="15" hidden="false" customHeight="false" outlineLevel="0" collapsed="false">
      <c r="A12" s="15" t="s">
        <v>698</v>
      </c>
      <c r="B12" s="15" t="s">
        <v>717</v>
      </c>
      <c r="C12" s="15" t="s">
        <v>718</v>
      </c>
      <c r="D12" s="15" t="s">
        <v>493</v>
      </c>
      <c r="E12" s="15" t="s">
        <v>710</v>
      </c>
      <c r="F12" s="14" t="s">
        <v>42</v>
      </c>
      <c r="G12" s="14" t="s">
        <v>42</v>
      </c>
    </row>
    <row r="13" customFormat="false" ht="15" hidden="false" customHeight="false" outlineLevel="0" collapsed="false">
      <c r="A13" s="13" t="s">
        <v>719</v>
      </c>
      <c r="B13" s="13" t="s">
        <v>712</v>
      </c>
      <c r="C13" s="13" t="s">
        <v>633</v>
      </c>
      <c r="D13" s="13" t="s">
        <v>632</v>
      </c>
      <c r="E13" s="13" t="s">
        <v>710</v>
      </c>
      <c r="F13" s="14" t="s">
        <v>42</v>
      </c>
      <c r="G13" s="14" t="s">
        <v>42</v>
      </c>
    </row>
    <row r="14" customFormat="false" ht="15" hidden="false" customHeight="false" outlineLevel="0" collapsed="false">
      <c r="A14" s="15" t="s">
        <v>698</v>
      </c>
      <c r="B14" s="15" t="s">
        <v>720</v>
      </c>
      <c r="C14" s="15" t="s">
        <v>721</v>
      </c>
      <c r="D14" s="15" t="s">
        <v>607</v>
      </c>
      <c r="E14" s="15" t="s">
        <v>710</v>
      </c>
      <c r="F14" s="14" t="s">
        <v>42</v>
      </c>
      <c r="G14" s="14" t="s">
        <v>42</v>
      </c>
    </row>
    <row r="15" customFormat="false" ht="15" hidden="false" customHeight="false" outlineLevel="0" collapsed="false">
      <c r="A15" s="13" t="s">
        <v>711</v>
      </c>
      <c r="B15" s="13" t="s">
        <v>722</v>
      </c>
      <c r="C15" s="13" t="s">
        <v>723</v>
      </c>
      <c r="D15" s="13" t="s">
        <v>724</v>
      </c>
      <c r="E15" s="13" t="s">
        <v>710</v>
      </c>
      <c r="F15" s="14" t="s">
        <v>42</v>
      </c>
      <c r="G15" s="14" t="s">
        <v>42</v>
      </c>
    </row>
    <row r="16" customFormat="false" ht="15" hidden="false" customHeight="false" outlineLevel="0" collapsed="false">
      <c r="A16" s="15" t="s">
        <v>711</v>
      </c>
      <c r="B16" s="15" t="s">
        <v>725</v>
      </c>
      <c r="C16" s="15" t="s">
        <v>726</v>
      </c>
      <c r="D16" s="15" t="s">
        <v>727</v>
      </c>
      <c r="E16" s="15" t="s">
        <v>710</v>
      </c>
      <c r="F16" s="14" t="s">
        <v>42</v>
      </c>
      <c r="G16" s="14" t="s">
        <v>42</v>
      </c>
    </row>
    <row r="17" customFormat="false" ht="15" hidden="false" customHeight="false" outlineLevel="0" collapsed="false">
      <c r="A17" s="13" t="s">
        <v>698</v>
      </c>
      <c r="B17" s="13" t="s">
        <v>725</v>
      </c>
      <c r="C17" s="13" t="s">
        <v>728</v>
      </c>
      <c r="D17" s="13" t="s">
        <v>729</v>
      </c>
      <c r="E17" s="13" t="s">
        <v>710</v>
      </c>
      <c r="F17" s="14" t="s">
        <v>42</v>
      </c>
      <c r="G17" s="14" t="s">
        <v>42</v>
      </c>
    </row>
    <row r="18" customFormat="false" ht="15" hidden="false" customHeight="false" outlineLevel="0" collapsed="false">
      <c r="A18" s="15" t="s">
        <v>711</v>
      </c>
      <c r="B18" s="15" t="s">
        <v>730</v>
      </c>
      <c r="C18" s="15" t="s">
        <v>544</v>
      </c>
      <c r="D18" s="15" t="s">
        <v>543</v>
      </c>
      <c r="E18" s="15" t="s">
        <v>710</v>
      </c>
      <c r="F18" s="14" t="s">
        <v>42</v>
      </c>
      <c r="G18" s="14" t="s">
        <v>42</v>
      </c>
    </row>
    <row r="19" customFormat="false" ht="15" hidden="false" customHeight="false" outlineLevel="0" collapsed="false">
      <c r="A19" s="13" t="s">
        <v>714</v>
      </c>
      <c r="B19" s="13" t="s">
        <v>730</v>
      </c>
      <c r="C19" s="13" t="s">
        <v>120</v>
      </c>
      <c r="D19" s="13" t="s">
        <v>543</v>
      </c>
      <c r="E19" s="13" t="s">
        <v>710</v>
      </c>
      <c r="F19" s="14" t="s">
        <v>42</v>
      </c>
      <c r="G19" s="14" t="s">
        <v>42</v>
      </c>
    </row>
    <row r="20" customFormat="false" ht="15" hidden="false" customHeight="false" outlineLevel="0" collapsed="false">
      <c r="A20" s="15" t="s">
        <v>714</v>
      </c>
      <c r="B20" s="15" t="s">
        <v>731</v>
      </c>
      <c r="C20" s="15" t="s">
        <v>123</v>
      </c>
      <c r="D20" s="15" t="s">
        <v>549</v>
      </c>
      <c r="E20" s="15" t="s">
        <v>710</v>
      </c>
      <c r="F20" s="14" t="s">
        <v>42</v>
      </c>
      <c r="G20" s="14" t="s">
        <v>42</v>
      </c>
    </row>
    <row r="21" customFormat="false" ht="15" hidden="false" customHeight="false" outlineLevel="0" collapsed="false">
      <c r="A21" s="13" t="s">
        <v>698</v>
      </c>
      <c r="B21" s="13" t="s">
        <v>732</v>
      </c>
      <c r="C21" s="13" t="s">
        <v>733</v>
      </c>
      <c r="D21" s="13" t="s">
        <v>551</v>
      </c>
      <c r="E21" s="13" t="s">
        <v>710</v>
      </c>
      <c r="F21" s="14" t="s">
        <v>42</v>
      </c>
      <c r="G21" s="14" t="s">
        <v>42</v>
      </c>
    </row>
    <row r="22" customFormat="false" ht="15" hidden="false" customHeight="false" outlineLevel="0" collapsed="false">
      <c r="A22" s="15" t="s">
        <v>719</v>
      </c>
      <c r="B22" s="15" t="s">
        <v>730</v>
      </c>
      <c r="C22" s="15" t="s">
        <v>734</v>
      </c>
      <c r="D22" s="15" t="s">
        <v>554</v>
      </c>
      <c r="E22" s="15" t="s">
        <v>710</v>
      </c>
      <c r="F22" s="14" t="s">
        <v>42</v>
      </c>
      <c r="G22" s="14" t="s">
        <v>42</v>
      </c>
    </row>
    <row r="23" customFormat="false" ht="15" hidden="false" customHeight="false" outlineLevel="0" collapsed="false">
      <c r="A23" s="13" t="s">
        <v>711</v>
      </c>
      <c r="B23" s="13" t="s">
        <v>735</v>
      </c>
      <c r="C23" s="13" t="s">
        <v>576</v>
      </c>
      <c r="D23" s="13" t="s">
        <v>575</v>
      </c>
      <c r="E23" s="13" t="s">
        <v>710</v>
      </c>
      <c r="F23" s="14" t="s">
        <v>42</v>
      </c>
      <c r="G23" s="14" t="s">
        <v>42</v>
      </c>
    </row>
    <row r="24" customFormat="false" ht="15" hidden="false" customHeight="false" outlineLevel="0" collapsed="false">
      <c r="A24" s="15" t="s">
        <v>698</v>
      </c>
      <c r="B24" s="15" t="s">
        <v>735</v>
      </c>
      <c r="C24" s="15" t="s">
        <v>561</v>
      </c>
      <c r="D24" s="15" t="s">
        <v>560</v>
      </c>
      <c r="E24" s="15" t="s">
        <v>710</v>
      </c>
      <c r="F24" s="14" t="s">
        <v>42</v>
      </c>
      <c r="G24" s="14" t="s">
        <v>42</v>
      </c>
    </row>
    <row r="25" customFormat="false" ht="15" hidden="false" customHeight="false" outlineLevel="0" collapsed="false">
      <c r="A25" s="13" t="s">
        <v>714</v>
      </c>
      <c r="B25" s="13" t="s">
        <v>736</v>
      </c>
      <c r="C25" s="13" t="s">
        <v>737</v>
      </c>
      <c r="D25" s="13" t="s">
        <v>560</v>
      </c>
      <c r="E25" s="13" t="s">
        <v>710</v>
      </c>
      <c r="F25" s="14" t="s">
        <v>42</v>
      </c>
      <c r="G25" s="14" t="s">
        <v>42</v>
      </c>
    </row>
    <row r="26" customFormat="false" ht="15" hidden="false" customHeight="false" outlineLevel="0" collapsed="false">
      <c r="A26" s="15" t="s">
        <v>698</v>
      </c>
      <c r="B26" s="15" t="s">
        <v>738</v>
      </c>
      <c r="C26" s="15" t="s">
        <v>739</v>
      </c>
      <c r="D26" s="15" t="s">
        <v>740</v>
      </c>
      <c r="E26" s="15" t="s">
        <v>710</v>
      </c>
      <c r="F26" s="14" t="s">
        <v>42</v>
      </c>
      <c r="G26" s="14" t="s">
        <v>42</v>
      </c>
    </row>
    <row r="27" customFormat="false" ht="15" hidden="false" customHeight="false" outlineLevel="0" collapsed="false">
      <c r="A27" s="13" t="s">
        <v>719</v>
      </c>
      <c r="B27" s="13" t="s">
        <v>736</v>
      </c>
      <c r="C27" s="13" t="s">
        <v>741</v>
      </c>
      <c r="D27" s="13" t="s">
        <v>560</v>
      </c>
      <c r="E27" s="13" t="s">
        <v>710</v>
      </c>
      <c r="F27" s="14" t="s">
        <v>42</v>
      </c>
      <c r="G27" s="14" t="s">
        <v>42</v>
      </c>
    </row>
    <row r="28" customFormat="false" ht="15" hidden="false" customHeight="false" outlineLevel="0" collapsed="false">
      <c r="A28" s="15" t="s">
        <v>711</v>
      </c>
      <c r="B28" s="15" t="s">
        <v>742</v>
      </c>
      <c r="C28" s="15" t="s">
        <v>743</v>
      </c>
      <c r="D28" s="15" t="s">
        <v>744</v>
      </c>
      <c r="E28" s="15" t="s">
        <v>710</v>
      </c>
      <c r="F28" s="14" t="s">
        <v>42</v>
      </c>
      <c r="G28" s="14" t="s">
        <v>42</v>
      </c>
    </row>
    <row r="29" customFormat="false" ht="15" hidden="false" customHeight="false" outlineLevel="0" collapsed="false">
      <c r="A29" s="13" t="s">
        <v>711</v>
      </c>
      <c r="B29" s="13" t="s">
        <v>745</v>
      </c>
      <c r="C29" s="13" t="s">
        <v>746</v>
      </c>
      <c r="D29" s="13" t="s">
        <v>581</v>
      </c>
      <c r="E29" s="13" t="s">
        <v>710</v>
      </c>
      <c r="F29" s="14" t="s">
        <v>42</v>
      </c>
      <c r="G29" s="14" t="s">
        <v>42</v>
      </c>
    </row>
    <row r="30" customFormat="false" ht="15" hidden="false" customHeight="false" outlineLevel="0" collapsed="false">
      <c r="A30" s="15" t="s">
        <v>698</v>
      </c>
      <c r="B30" s="15" t="s">
        <v>745</v>
      </c>
      <c r="C30" s="15" t="s">
        <v>747</v>
      </c>
      <c r="D30" s="15" t="s">
        <v>748</v>
      </c>
      <c r="E30" s="15" t="s">
        <v>710</v>
      </c>
      <c r="F30" s="14" t="s">
        <v>42</v>
      </c>
      <c r="G30" s="14" t="s">
        <v>42</v>
      </c>
    </row>
    <row r="31" customFormat="false" ht="15" hidden="false" customHeight="false" outlineLevel="0" collapsed="false">
      <c r="A31" s="13" t="s">
        <v>711</v>
      </c>
      <c r="B31" s="13" t="s">
        <v>749</v>
      </c>
      <c r="C31" s="13" t="s">
        <v>750</v>
      </c>
      <c r="D31" s="13" t="s">
        <v>590</v>
      </c>
      <c r="E31" s="13" t="s">
        <v>710</v>
      </c>
      <c r="F31" s="14" t="s">
        <v>42</v>
      </c>
      <c r="G31" s="14" t="s">
        <v>42</v>
      </c>
    </row>
    <row r="32" customFormat="false" ht="15" hidden="false" customHeight="false" outlineLevel="0" collapsed="false">
      <c r="A32" s="15" t="s">
        <v>714</v>
      </c>
      <c r="B32" s="15" t="s">
        <v>749</v>
      </c>
      <c r="C32" s="15" t="s">
        <v>751</v>
      </c>
      <c r="D32" s="15" t="s">
        <v>581</v>
      </c>
      <c r="E32" s="15" t="s">
        <v>710</v>
      </c>
      <c r="F32" s="14" t="s">
        <v>42</v>
      </c>
      <c r="G32" s="14" t="s">
        <v>42</v>
      </c>
    </row>
    <row r="33" customFormat="false" ht="15" hidden="false" customHeight="false" outlineLevel="0" collapsed="false">
      <c r="A33" s="13" t="s">
        <v>719</v>
      </c>
      <c r="B33" s="13" t="s">
        <v>749</v>
      </c>
      <c r="C33" s="13" t="s">
        <v>752</v>
      </c>
      <c r="D33" s="13" t="s">
        <v>596</v>
      </c>
      <c r="E33" s="13" t="s">
        <v>710</v>
      </c>
      <c r="F33" s="14" t="s">
        <v>42</v>
      </c>
      <c r="G33" s="14" t="s">
        <v>42</v>
      </c>
    </row>
    <row r="34" customFormat="false" ht="23.85" hidden="false" customHeight="false" outlineLevel="0" collapsed="false">
      <c r="A34" s="15" t="s">
        <v>753</v>
      </c>
      <c r="B34" s="15" t="s">
        <v>754</v>
      </c>
      <c r="C34" s="15" t="s">
        <v>755</v>
      </c>
      <c r="D34" s="15" t="s">
        <v>627</v>
      </c>
      <c r="E34" s="15" t="s">
        <v>710</v>
      </c>
      <c r="F34" s="14" t="s">
        <v>42</v>
      </c>
      <c r="G34" s="14" t="s">
        <v>42</v>
      </c>
    </row>
    <row r="35" customFormat="false" ht="23.85" hidden="false" customHeight="false" outlineLevel="0" collapsed="false">
      <c r="A35" s="13" t="s">
        <v>753</v>
      </c>
      <c r="B35" s="13" t="s">
        <v>756</v>
      </c>
      <c r="C35" s="13" t="s">
        <v>757</v>
      </c>
      <c r="D35" s="13" t="s">
        <v>627</v>
      </c>
      <c r="E35" s="13" t="s">
        <v>710</v>
      </c>
      <c r="F35" s="14" t="s">
        <v>42</v>
      </c>
      <c r="G35" s="14" t="s">
        <v>42</v>
      </c>
    </row>
    <row r="36" customFormat="false" ht="15" hidden="false" customHeight="false" outlineLevel="0" collapsed="false">
      <c r="A36" s="15" t="s">
        <v>711</v>
      </c>
      <c r="B36" s="15" t="s">
        <v>758</v>
      </c>
      <c r="C36" s="15" t="s">
        <v>759</v>
      </c>
      <c r="D36" s="15" t="s">
        <v>619</v>
      </c>
      <c r="E36" s="15" t="s">
        <v>710</v>
      </c>
      <c r="F36" s="14" t="s">
        <v>42</v>
      </c>
      <c r="G36" s="14" t="s">
        <v>42</v>
      </c>
    </row>
    <row r="37" customFormat="false" ht="15" hidden="false" customHeight="false" outlineLevel="0" collapsed="false">
      <c r="A37" s="13" t="s">
        <v>698</v>
      </c>
      <c r="B37" s="13" t="s">
        <v>760</v>
      </c>
      <c r="C37" s="13" t="s">
        <v>761</v>
      </c>
      <c r="D37" s="13" t="s">
        <v>619</v>
      </c>
      <c r="E37" s="13" t="s">
        <v>710</v>
      </c>
      <c r="F37" s="14" t="s">
        <v>42</v>
      </c>
      <c r="G37" s="14" t="s">
        <v>42</v>
      </c>
    </row>
    <row r="38" customFormat="false" ht="15" hidden="false" customHeight="false" outlineLevel="0" collapsed="false">
      <c r="A38" s="15" t="s">
        <v>711</v>
      </c>
      <c r="B38" s="15" t="s">
        <v>762</v>
      </c>
      <c r="C38" s="15" t="s">
        <v>763</v>
      </c>
      <c r="D38" s="15" t="s">
        <v>684</v>
      </c>
      <c r="E38" s="15" t="s">
        <v>710</v>
      </c>
      <c r="F38" s="14" t="s">
        <v>42</v>
      </c>
      <c r="G38" s="14" t="s">
        <v>42</v>
      </c>
    </row>
    <row r="39" customFormat="false" ht="15" hidden="false" customHeight="false" outlineLevel="0" collapsed="false">
      <c r="A39" s="13" t="s">
        <v>764</v>
      </c>
      <c r="B39" s="13" t="s">
        <v>765</v>
      </c>
      <c r="C39" s="13" t="s">
        <v>766</v>
      </c>
      <c r="D39" s="13" t="s">
        <v>767</v>
      </c>
      <c r="E39" s="13" t="s">
        <v>710</v>
      </c>
      <c r="F39" s="14" t="s">
        <v>42</v>
      </c>
      <c r="G39" s="14" t="s">
        <v>42</v>
      </c>
    </row>
    <row r="40" customFormat="false" ht="15" hidden="false" customHeight="false" outlineLevel="0" collapsed="false">
      <c r="A40" s="15" t="s">
        <v>768</v>
      </c>
      <c r="B40" s="15" t="s">
        <v>769</v>
      </c>
      <c r="C40" s="15" t="s">
        <v>770</v>
      </c>
      <c r="D40" s="15" t="s">
        <v>767</v>
      </c>
      <c r="E40" s="15" t="s">
        <v>710</v>
      </c>
      <c r="F40" s="14" t="s">
        <v>42</v>
      </c>
      <c r="G40" s="14" t="s">
        <v>42</v>
      </c>
    </row>
    <row r="41" customFormat="false" ht="15" hidden="false" customHeight="false" outlineLevel="0" collapsed="false">
      <c r="A41" s="13" t="s">
        <v>698</v>
      </c>
      <c r="B41" s="13" t="s">
        <v>771</v>
      </c>
      <c r="C41" s="13" t="s">
        <v>772</v>
      </c>
      <c r="D41" s="13" t="s">
        <v>635</v>
      </c>
      <c r="E41" s="13" t="s">
        <v>710</v>
      </c>
      <c r="F41" s="14" t="s">
        <v>42</v>
      </c>
      <c r="G41" s="14" t="s">
        <v>42</v>
      </c>
    </row>
    <row r="42" customFormat="false" ht="15" hidden="false" customHeight="false" outlineLevel="0" collapsed="false">
      <c r="A42" s="15" t="s">
        <v>698</v>
      </c>
      <c r="B42" s="15" t="s">
        <v>773</v>
      </c>
      <c r="C42" s="15" t="s">
        <v>774</v>
      </c>
      <c r="D42" s="15" t="s">
        <v>635</v>
      </c>
      <c r="E42" s="15" t="s">
        <v>710</v>
      </c>
      <c r="F42" s="14" t="s">
        <v>42</v>
      </c>
      <c r="G42" s="14" t="s">
        <v>42</v>
      </c>
    </row>
    <row r="43" customFormat="false" ht="15" hidden="false" customHeight="false" outlineLevel="0" collapsed="false">
      <c r="A43" s="13" t="s">
        <v>711</v>
      </c>
      <c r="B43" s="13" t="s">
        <v>773</v>
      </c>
      <c r="C43" s="13" t="s">
        <v>775</v>
      </c>
      <c r="D43" s="13" t="s">
        <v>638</v>
      </c>
      <c r="E43" s="13" t="s">
        <v>710</v>
      </c>
      <c r="F43" s="14" t="s">
        <v>42</v>
      </c>
      <c r="G43" s="14" t="s">
        <v>42</v>
      </c>
    </row>
    <row r="44" customFormat="false" ht="15" hidden="false" customHeight="false" outlineLevel="0" collapsed="false">
      <c r="A44" s="15" t="s">
        <v>711</v>
      </c>
      <c r="B44" s="15" t="s">
        <v>776</v>
      </c>
      <c r="C44" s="15" t="s">
        <v>777</v>
      </c>
      <c r="D44" s="15" t="s">
        <v>641</v>
      </c>
      <c r="E44" s="15" t="s">
        <v>710</v>
      </c>
      <c r="F44" s="14" t="s">
        <v>42</v>
      </c>
      <c r="G44" s="14" t="s">
        <v>42</v>
      </c>
    </row>
    <row r="45" customFormat="false" ht="15" hidden="false" customHeight="false" outlineLevel="0" collapsed="false">
      <c r="A45" s="13" t="s">
        <v>768</v>
      </c>
      <c r="B45" s="13" t="s">
        <v>778</v>
      </c>
      <c r="C45" s="13" t="s">
        <v>779</v>
      </c>
      <c r="D45" s="13" t="s">
        <v>641</v>
      </c>
      <c r="E45" s="13" t="s">
        <v>710</v>
      </c>
      <c r="F45" s="14" t="s">
        <v>42</v>
      </c>
      <c r="G45" s="14" t="s">
        <v>42</v>
      </c>
    </row>
    <row r="46" customFormat="false" ht="15" hidden="false" customHeight="false" outlineLevel="0" collapsed="false">
      <c r="A46" s="15" t="s">
        <v>780</v>
      </c>
      <c r="B46" s="15" t="s">
        <v>781</v>
      </c>
      <c r="C46" s="15" t="s">
        <v>782</v>
      </c>
      <c r="D46" s="15" t="s">
        <v>662</v>
      </c>
      <c r="E46" s="15" t="s">
        <v>710</v>
      </c>
      <c r="F46" s="14" t="s">
        <v>42</v>
      </c>
      <c r="G46" s="14" t="s">
        <v>42</v>
      </c>
    </row>
    <row r="47" customFormat="false" ht="15" hidden="false" customHeight="false" outlineLevel="0" collapsed="false">
      <c r="A47" s="13" t="s">
        <v>698</v>
      </c>
      <c r="B47" s="13" t="s">
        <v>783</v>
      </c>
      <c r="C47" s="13" t="s">
        <v>784</v>
      </c>
      <c r="D47" s="13" t="s">
        <v>665</v>
      </c>
      <c r="E47" s="13" t="s">
        <v>710</v>
      </c>
      <c r="F47" s="14" t="s">
        <v>42</v>
      </c>
      <c r="G47" s="14" t="s">
        <v>42</v>
      </c>
    </row>
    <row r="48" customFormat="false" ht="15" hidden="false" customHeight="false" outlineLevel="0" collapsed="false">
      <c r="A48" s="15" t="s">
        <v>768</v>
      </c>
      <c r="B48" s="15" t="s">
        <v>785</v>
      </c>
      <c r="C48" s="15" t="s">
        <v>786</v>
      </c>
      <c r="D48" s="15" t="s">
        <v>665</v>
      </c>
      <c r="E48" s="15" t="s">
        <v>710</v>
      </c>
      <c r="F48" s="14" t="s">
        <v>42</v>
      </c>
      <c r="G48" s="14" t="s">
        <v>42</v>
      </c>
    </row>
    <row r="49" customFormat="false" ht="15" hidden="false" customHeight="false" outlineLevel="0" collapsed="false">
      <c r="A49" s="13" t="s">
        <v>764</v>
      </c>
      <c r="B49" s="13" t="s">
        <v>787</v>
      </c>
      <c r="C49" s="13" t="s">
        <v>788</v>
      </c>
      <c r="D49" s="13" t="s">
        <v>789</v>
      </c>
      <c r="E49" s="13" t="s">
        <v>710</v>
      </c>
      <c r="F49" s="14" t="s">
        <v>42</v>
      </c>
      <c r="G49" s="14" t="s">
        <v>42</v>
      </c>
    </row>
    <row r="50" customFormat="false" ht="15" hidden="false" customHeight="false" outlineLevel="0" collapsed="false">
      <c r="A50" s="15" t="s">
        <v>768</v>
      </c>
      <c r="B50" s="15" t="s">
        <v>790</v>
      </c>
      <c r="C50" s="15" t="s">
        <v>791</v>
      </c>
      <c r="D50" s="15" t="s">
        <v>789</v>
      </c>
      <c r="E50" s="15" t="s">
        <v>710</v>
      </c>
      <c r="F50" s="14" t="s">
        <v>42</v>
      </c>
      <c r="G50" s="14" t="s">
        <v>42</v>
      </c>
    </row>
  </sheetData>
  <autoFilter ref="A4:G50"/>
  <conditionalFormatting sqref="F5:F50">
    <cfRule type="cellIs" priority="2" operator="equal" aboveAverage="0" equalAverage="0" bottom="0" percent="0" rank="0" text="" dxfId="8">
      <formula>"Done"</formula>
    </cfRule>
    <cfRule type="cellIs" priority="3" operator="equal" aboveAverage="0" equalAverage="0" bottom="0" percent="0" rank="0" text="" dxfId="9">
      <formula>"In progress"</formula>
    </cfRule>
    <cfRule type="cellIs" priority="4" operator="equal" aboveAverage="0" equalAverage="0" bottom="0" percent="0" rank="0" text="" dxfId="10">
      <formula>"In review"</formula>
    </cfRule>
    <cfRule type="cellIs" priority="5" operator="equal" aboveAverage="0" equalAverage="0" bottom="0" percent="0" rank="0" text="" dxfId="11">
      <formula>"Blocked"</formula>
    </cfRule>
  </conditionalFormatting>
  <conditionalFormatting sqref="G5:G50">
    <cfRule type="cellIs" priority="6" operator="equal" aboveAverage="0" equalAverage="0" bottom="0" percent="0" rank="0" text="" dxfId="8">
      <formula>"Done"</formula>
    </cfRule>
    <cfRule type="cellIs" priority="7" operator="equal" aboveAverage="0" equalAverage="0" bottom="0" percent="0" rank="0" text="" dxfId="9">
      <formula>"In progress"</formula>
    </cfRule>
    <cfRule type="cellIs" priority="8" operator="equal" aboveAverage="0" equalAverage="0" bottom="0" percent="0" rank="0" text="" dxfId="10">
      <formula>"In review"</formula>
    </cfRule>
    <cfRule type="cellIs" priority="9" operator="equal" aboveAverage="0" equalAverage="0" bottom="0" percent="0" rank="0" text="" dxfId="11">
      <formula>"Blocked"</formula>
    </cfRule>
  </conditionalFormatting>
  <dataValidations count="1">
    <dataValidation allowBlank="true" errorStyle="stop" operator="between" showDropDown="false" showErrorMessage="false" showInputMessage="false" sqref="F5:G50" type="list">
      <formula1>"Not started,In progress,In review,Done,Blocked"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26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1" t="s">
        <v>792</v>
      </c>
    </row>
    <row r="2" customFormat="false" ht="15" hidden="false" customHeight="false" outlineLevel="0" collapsed="false">
      <c r="A2" s="2" t="s">
        <v>793</v>
      </c>
    </row>
    <row r="4" customFormat="false" ht="27.75" hidden="false" customHeight="true" outlineLevel="0" collapsed="false">
      <c r="A4" s="12" t="s">
        <v>794</v>
      </c>
      <c r="B4" s="12" t="s">
        <v>795</v>
      </c>
      <c r="C4" s="12" t="s">
        <v>25</v>
      </c>
      <c r="D4" s="12" t="s">
        <v>796</v>
      </c>
      <c r="E4" s="12" t="s">
        <v>31</v>
      </c>
      <c r="F4" s="12" t="s">
        <v>797</v>
      </c>
    </row>
    <row r="5" customFormat="false" ht="15" hidden="false" customHeight="false" outlineLevel="0" collapsed="false">
      <c r="A5" s="13" t="s">
        <v>798</v>
      </c>
      <c r="B5" s="13" t="s">
        <v>799</v>
      </c>
      <c r="C5" s="13" t="s">
        <v>800</v>
      </c>
      <c r="D5" s="13" t="s">
        <v>801</v>
      </c>
      <c r="E5" s="13" t="s">
        <v>802</v>
      </c>
      <c r="F5" s="14" t="s">
        <v>42</v>
      </c>
    </row>
    <row r="6" customFormat="false" ht="15" hidden="false" customHeight="false" outlineLevel="0" collapsed="false">
      <c r="A6" s="15" t="s">
        <v>798</v>
      </c>
      <c r="B6" s="15" t="s">
        <v>803</v>
      </c>
      <c r="C6" s="15" t="s">
        <v>804</v>
      </c>
      <c r="D6" s="15"/>
      <c r="E6" s="15"/>
      <c r="F6" s="14" t="s">
        <v>42</v>
      </c>
    </row>
    <row r="7" customFormat="false" ht="15" hidden="false" customHeight="false" outlineLevel="0" collapsed="false">
      <c r="A7" s="13" t="s">
        <v>798</v>
      </c>
      <c r="B7" s="13" t="s">
        <v>805</v>
      </c>
      <c r="C7" s="13" t="s">
        <v>804</v>
      </c>
      <c r="D7" s="13" t="s">
        <v>806</v>
      </c>
      <c r="E7" s="13" t="s">
        <v>807</v>
      </c>
      <c r="F7" s="14" t="s">
        <v>42</v>
      </c>
    </row>
    <row r="8" customFormat="false" ht="15" hidden="false" customHeight="false" outlineLevel="0" collapsed="false">
      <c r="A8" s="15" t="s">
        <v>798</v>
      </c>
      <c r="B8" s="15" t="s">
        <v>808</v>
      </c>
      <c r="C8" s="15" t="s">
        <v>809</v>
      </c>
      <c r="D8" s="15"/>
      <c r="E8" s="15"/>
      <c r="F8" s="14" t="s">
        <v>42</v>
      </c>
    </row>
    <row r="9" customFormat="false" ht="15" hidden="false" customHeight="false" outlineLevel="0" collapsed="false">
      <c r="A9" s="13" t="s">
        <v>798</v>
      </c>
      <c r="B9" s="13" t="s">
        <v>810</v>
      </c>
      <c r="C9" s="13" t="s">
        <v>804</v>
      </c>
      <c r="D9" s="13" t="s">
        <v>811</v>
      </c>
      <c r="E9" s="13"/>
      <c r="F9" s="14" t="s">
        <v>42</v>
      </c>
    </row>
    <row r="10" customFormat="false" ht="15" hidden="false" customHeight="false" outlineLevel="0" collapsed="false">
      <c r="A10" s="15" t="s">
        <v>798</v>
      </c>
      <c r="B10" s="15" t="s">
        <v>812</v>
      </c>
      <c r="C10" s="15" t="s">
        <v>813</v>
      </c>
      <c r="D10" s="15"/>
      <c r="E10" s="15" t="s">
        <v>814</v>
      </c>
      <c r="F10" s="14" t="s">
        <v>42</v>
      </c>
    </row>
    <row r="11" customFormat="false" ht="15" hidden="false" customHeight="false" outlineLevel="0" collapsed="false">
      <c r="A11" s="13" t="s">
        <v>798</v>
      </c>
      <c r="B11" s="13" t="s">
        <v>815</v>
      </c>
      <c r="C11" s="13" t="s">
        <v>816</v>
      </c>
      <c r="D11" s="13" t="s">
        <v>806</v>
      </c>
      <c r="E11" s="13"/>
      <c r="F11" s="14" t="s">
        <v>42</v>
      </c>
    </row>
    <row r="12" customFormat="false" ht="15" hidden="false" customHeight="false" outlineLevel="0" collapsed="false">
      <c r="A12" s="15" t="s">
        <v>817</v>
      </c>
      <c r="B12" s="15" t="s">
        <v>818</v>
      </c>
      <c r="C12" s="15" t="s">
        <v>804</v>
      </c>
      <c r="D12" s="15"/>
      <c r="E12" s="15" t="s">
        <v>819</v>
      </c>
      <c r="F12" s="14" t="s">
        <v>42</v>
      </c>
    </row>
    <row r="13" customFormat="false" ht="15" hidden="false" customHeight="false" outlineLevel="0" collapsed="false">
      <c r="A13" s="13" t="s">
        <v>817</v>
      </c>
      <c r="B13" s="13" t="s">
        <v>820</v>
      </c>
      <c r="C13" s="13" t="s">
        <v>821</v>
      </c>
      <c r="D13" s="13"/>
      <c r="E13" s="13"/>
      <c r="F13" s="14" t="s">
        <v>42</v>
      </c>
    </row>
    <row r="14" customFormat="false" ht="15" hidden="false" customHeight="false" outlineLevel="0" collapsed="false">
      <c r="A14" s="15" t="s">
        <v>822</v>
      </c>
      <c r="B14" s="15" t="s">
        <v>823</v>
      </c>
      <c r="C14" s="15" t="s">
        <v>824</v>
      </c>
      <c r="D14" s="15"/>
      <c r="E14" s="15" t="s">
        <v>825</v>
      </c>
      <c r="F14" s="14" t="s">
        <v>42</v>
      </c>
    </row>
    <row r="15" customFormat="false" ht="15" hidden="false" customHeight="false" outlineLevel="0" collapsed="false">
      <c r="A15" s="13" t="s">
        <v>826</v>
      </c>
      <c r="B15" s="13" t="s">
        <v>827</v>
      </c>
      <c r="C15" s="13" t="s">
        <v>804</v>
      </c>
      <c r="D15" s="13" t="s">
        <v>828</v>
      </c>
      <c r="E15" s="13"/>
      <c r="F15" s="14" t="s">
        <v>42</v>
      </c>
    </row>
    <row r="16" customFormat="false" ht="15" hidden="false" customHeight="false" outlineLevel="0" collapsed="false">
      <c r="A16" s="15" t="s">
        <v>829</v>
      </c>
      <c r="B16" s="15" t="s">
        <v>830</v>
      </c>
      <c r="C16" s="15" t="s">
        <v>831</v>
      </c>
      <c r="D16" s="15" t="s">
        <v>832</v>
      </c>
      <c r="E16" s="15"/>
      <c r="F16" s="14" t="s">
        <v>42</v>
      </c>
    </row>
    <row r="17" customFormat="false" ht="15" hidden="false" customHeight="false" outlineLevel="0" collapsed="false">
      <c r="A17" s="13" t="s">
        <v>829</v>
      </c>
      <c r="B17" s="13" t="s">
        <v>833</v>
      </c>
      <c r="C17" s="13" t="s">
        <v>800</v>
      </c>
      <c r="D17" s="13" t="s">
        <v>834</v>
      </c>
      <c r="E17" s="13"/>
      <c r="F17" s="14" t="s">
        <v>42</v>
      </c>
    </row>
    <row r="18" customFormat="false" ht="15" hidden="false" customHeight="false" outlineLevel="0" collapsed="false">
      <c r="A18" s="15" t="s">
        <v>829</v>
      </c>
      <c r="B18" s="15" t="s">
        <v>835</v>
      </c>
      <c r="C18" s="15" t="s">
        <v>836</v>
      </c>
      <c r="D18" s="15"/>
      <c r="E18" s="15"/>
      <c r="F18" s="14" t="s">
        <v>42</v>
      </c>
    </row>
    <row r="19" customFormat="false" ht="23.85" hidden="false" customHeight="false" outlineLevel="0" collapsed="false">
      <c r="A19" s="13" t="s">
        <v>829</v>
      </c>
      <c r="B19" s="13" t="s">
        <v>837</v>
      </c>
      <c r="C19" s="13" t="s">
        <v>804</v>
      </c>
      <c r="D19" s="13" t="s">
        <v>838</v>
      </c>
      <c r="E19" s="13"/>
      <c r="F19" s="14" t="s">
        <v>42</v>
      </c>
    </row>
    <row r="20" customFormat="false" ht="15" hidden="false" customHeight="false" outlineLevel="0" collapsed="false">
      <c r="A20" s="15" t="s">
        <v>829</v>
      </c>
      <c r="B20" s="15" t="s">
        <v>839</v>
      </c>
      <c r="C20" s="15" t="s">
        <v>804</v>
      </c>
      <c r="D20" s="15"/>
      <c r="E20" s="15"/>
      <c r="F20" s="14" t="s">
        <v>42</v>
      </c>
    </row>
    <row r="21" customFormat="false" ht="15" hidden="false" customHeight="false" outlineLevel="0" collapsed="false">
      <c r="A21" s="13" t="s">
        <v>829</v>
      </c>
      <c r="B21" s="13" t="s">
        <v>840</v>
      </c>
      <c r="C21" s="13" t="s">
        <v>804</v>
      </c>
      <c r="D21" s="13"/>
      <c r="E21" s="13"/>
      <c r="F21" s="14" t="s">
        <v>42</v>
      </c>
    </row>
    <row r="22" customFormat="false" ht="15" hidden="false" customHeight="false" outlineLevel="0" collapsed="false">
      <c r="A22" s="15" t="s">
        <v>829</v>
      </c>
      <c r="B22" s="15" t="s">
        <v>841</v>
      </c>
      <c r="C22" s="15" t="s">
        <v>804</v>
      </c>
      <c r="D22" s="15" t="s">
        <v>842</v>
      </c>
      <c r="E22" s="15"/>
      <c r="F22" s="14" t="s">
        <v>42</v>
      </c>
    </row>
    <row r="23" customFormat="false" ht="15" hidden="false" customHeight="false" outlineLevel="0" collapsed="false">
      <c r="A23" s="13" t="s">
        <v>829</v>
      </c>
      <c r="B23" s="13" t="s">
        <v>843</v>
      </c>
      <c r="C23" s="13" t="s">
        <v>844</v>
      </c>
      <c r="D23" s="13"/>
      <c r="E23" s="13"/>
      <c r="F23" s="14" t="s">
        <v>42</v>
      </c>
    </row>
    <row r="24" customFormat="false" ht="15" hidden="false" customHeight="false" outlineLevel="0" collapsed="false">
      <c r="A24" s="15" t="s">
        <v>829</v>
      </c>
      <c r="B24" s="15" t="s">
        <v>845</v>
      </c>
      <c r="C24" s="15" t="s">
        <v>804</v>
      </c>
      <c r="D24" s="15" t="s">
        <v>846</v>
      </c>
      <c r="E24" s="15"/>
      <c r="F24" s="14" t="s">
        <v>42</v>
      </c>
    </row>
    <row r="25" customFormat="false" ht="15" hidden="false" customHeight="false" outlineLevel="0" collapsed="false">
      <c r="A25" s="13" t="s">
        <v>829</v>
      </c>
      <c r="B25" s="13" t="s">
        <v>847</v>
      </c>
      <c r="C25" s="13" t="s">
        <v>848</v>
      </c>
      <c r="D25" s="13" t="s">
        <v>849</v>
      </c>
      <c r="E25" s="13" t="s">
        <v>850</v>
      </c>
      <c r="F25" s="14" t="s">
        <v>42</v>
      </c>
    </row>
    <row r="26" customFormat="false" ht="15" hidden="false" customHeight="false" outlineLevel="0" collapsed="false">
      <c r="A26" s="15" t="s">
        <v>829</v>
      </c>
      <c r="B26" s="15" t="s">
        <v>851</v>
      </c>
      <c r="C26" s="15" t="s">
        <v>816</v>
      </c>
      <c r="D26" s="15"/>
      <c r="E26" s="15" t="s">
        <v>852</v>
      </c>
      <c r="F26" s="14" t="s">
        <v>42</v>
      </c>
    </row>
    <row r="27" customFormat="false" ht="15" hidden="false" customHeight="false" outlineLevel="0" collapsed="false">
      <c r="A27" s="13" t="s">
        <v>853</v>
      </c>
      <c r="B27" s="13" t="s">
        <v>854</v>
      </c>
      <c r="C27" s="13" t="s">
        <v>855</v>
      </c>
      <c r="D27" s="13" t="s">
        <v>856</v>
      </c>
      <c r="E27" s="13" t="s">
        <v>857</v>
      </c>
      <c r="F27" s="14" t="s">
        <v>42</v>
      </c>
    </row>
    <row r="28" customFormat="false" ht="15" hidden="false" customHeight="false" outlineLevel="0" collapsed="false">
      <c r="A28" s="15" t="s">
        <v>858</v>
      </c>
      <c r="B28" s="15" t="s">
        <v>859</v>
      </c>
      <c r="C28" s="15" t="s">
        <v>860</v>
      </c>
      <c r="D28" s="15" t="s">
        <v>861</v>
      </c>
      <c r="E28" s="15"/>
      <c r="F28" s="14" t="s">
        <v>42</v>
      </c>
    </row>
    <row r="29" customFormat="false" ht="15" hidden="false" customHeight="false" outlineLevel="0" collapsed="false">
      <c r="A29" s="13" t="s">
        <v>858</v>
      </c>
      <c r="B29" s="13" t="s">
        <v>862</v>
      </c>
      <c r="C29" s="13" t="s">
        <v>804</v>
      </c>
      <c r="D29" s="13"/>
      <c r="E29" s="13"/>
      <c r="F29" s="14" t="s">
        <v>42</v>
      </c>
    </row>
    <row r="30" customFormat="false" ht="23.85" hidden="false" customHeight="false" outlineLevel="0" collapsed="false">
      <c r="A30" s="15" t="s">
        <v>858</v>
      </c>
      <c r="B30" s="15" t="s">
        <v>863</v>
      </c>
      <c r="C30" s="15" t="s">
        <v>804</v>
      </c>
      <c r="D30" s="15" t="s">
        <v>864</v>
      </c>
      <c r="E30" s="15"/>
      <c r="F30" s="14" t="s">
        <v>42</v>
      </c>
    </row>
    <row r="31" customFormat="false" ht="15" hidden="false" customHeight="false" outlineLevel="0" collapsed="false">
      <c r="A31" s="13" t="s">
        <v>858</v>
      </c>
      <c r="B31" s="13" t="s">
        <v>865</v>
      </c>
      <c r="C31" s="13" t="s">
        <v>866</v>
      </c>
      <c r="D31" s="13"/>
      <c r="E31" s="13"/>
      <c r="F31" s="14" t="s">
        <v>42</v>
      </c>
    </row>
    <row r="32" customFormat="false" ht="15" hidden="false" customHeight="false" outlineLevel="0" collapsed="false">
      <c r="A32" s="15" t="s">
        <v>867</v>
      </c>
      <c r="B32" s="15" t="s">
        <v>868</v>
      </c>
      <c r="C32" s="15"/>
      <c r="D32" s="15"/>
      <c r="E32" s="15" t="s">
        <v>107</v>
      </c>
      <c r="F32" s="14" t="s">
        <v>42</v>
      </c>
    </row>
    <row r="33" customFormat="false" ht="23.85" hidden="false" customHeight="false" outlineLevel="0" collapsed="false">
      <c r="A33" s="13" t="s">
        <v>869</v>
      </c>
      <c r="B33" s="13" t="s">
        <v>870</v>
      </c>
      <c r="C33" s="13"/>
      <c r="D33" s="13"/>
      <c r="E33" s="13" t="s">
        <v>871</v>
      </c>
      <c r="F33" s="14" t="s">
        <v>42</v>
      </c>
    </row>
    <row r="34" customFormat="false" ht="15" hidden="false" customHeight="false" outlineLevel="0" collapsed="false">
      <c r="A34" s="15" t="s">
        <v>872</v>
      </c>
      <c r="B34" s="15" t="s">
        <v>873</v>
      </c>
      <c r="C34" s="15" t="s">
        <v>874</v>
      </c>
      <c r="D34" s="15" t="s">
        <v>875</v>
      </c>
      <c r="E34" s="15" t="s">
        <v>107</v>
      </c>
      <c r="F34" s="14" t="s">
        <v>42</v>
      </c>
    </row>
    <row r="35" customFormat="false" ht="15" hidden="false" customHeight="false" outlineLevel="0" collapsed="false">
      <c r="A35" s="13" t="s">
        <v>876</v>
      </c>
      <c r="B35" s="13" t="s">
        <v>877</v>
      </c>
      <c r="C35" s="13" t="s">
        <v>878</v>
      </c>
      <c r="D35" s="13" t="s">
        <v>879</v>
      </c>
      <c r="E35" s="13" t="s">
        <v>107</v>
      </c>
      <c r="F35" s="14" t="s">
        <v>42</v>
      </c>
    </row>
    <row r="36" customFormat="false" ht="15" hidden="false" customHeight="false" outlineLevel="0" collapsed="false">
      <c r="A36" s="15" t="s">
        <v>880</v>
      </c>
      <c r="B36" s="15" t="s">
        <v>881</v>
      </c>
      <c r="C36" s="15"/>
      <c r="D36" s="15" t="s">
        <v>882</v>
      </c>
      <c r="E36" s="15" t="s">
        <v>107</v>
      </c>
      <c r="F36" s="14" t="s">
        <v>42</v>
      </c>
    </row>
    <row r="37" customFormat="false" ht="15" hidden="false" customHeight="false" outlineLevel="0" collapsed="false">
      <c r="A37" s="13" t="s">
        <v>883</v>
      </c>
      <c r="B37" s="13" t="s">
        <v>884</v>
      </c>
      <c r="C37" s="13"/>
      <c r="D37" s="13" t="s">
        <v>885</v>
      </c>
      <c r="E37" s="13"/>
      <c r="F37" s="14" t="s">
        <v>42</v>
      </c>
    </row>
    <row r="38" customFormat="false" ht="15" hidden="false" customHeight="false" outlineLevel="0" collapsed="false">
      <c r="A38" s="15" t="s">
        <v>886</v>
      </c>
      <c r="B38" s="15" t="s">
        <v>887</v>
      </c>
      <c r="C38" s="15" t="s">
        <v>804</v>
      </c>
      <c r="D38" s="15"/>
      <c r="E38" s="15"/>
      <c r="F38" s="14" t="s">
        <v>42</v>
      </c>
    </row>
    <row r="39" customFormat="false" ht="15" hidden="false" customHeight="false" outlineLevel="0" collapsed="false">
      <c r="A39" s="13" t="s">
        <v>888</v>
      </c>
      <c r="B39" s="13" t="s">
        <v>889</v>
      </c>
      <c r="C39" s="13" t="s">
        <v>890</v>
      </c>
      <c r="D39" s="13" t="s">
        <v>891</v>
      </c>
      <c r="E39" s="13" t="s">
        <v>892</v>
      </c>
      <c r="F39" s="14" t="s">
        <v>42</v>
      </c>
    </row>
  </sheetData>
  <autoFilter ref="A4:F39"/>
  <conditionalFormatting sqref="F5:F39">
    <cfRule type="cellIs" priority="2" operator="equal" aboveAverage="0" equalAverage="0" bottom="0" percent="0" rank="0" text="" dxfId="8">
      <formula>"Done"</formula>
    </cfRule>
    <cfRule type="cellIs" priority="3" operator="equal" aboveAverage="0" equalAverage="0" bottom="0" percent="0" rank="0" text="" dxfId="9">
      <formula>"In progress"</formula>
    </cfRule>
    <cfRule type="cellIs" priority="4" operator="equal" aboveAverage="0" equalAverage="0" bottom="0" percent="0" rank="0" text="" dxfId="10">
      <formula>"In review"</formula>
    </cfRule>
    <cfRule type="cellIs" priority="5" operator="equal" aboveAverage="0" equalAverage="0" bottom="0" percent="0" rank="0" text="" dxfId="11">
      <formula>"Blocked"</formula>
    </cfRule>
  </conditionalFormatting>
  <dataValidations count="1">
    <dataValidation allowBlank="true" errorStyle="stop" operator="between" showDropDown="false" showErrorMessage="false" showInputMessage="false" sqref="F5:F39" type="list">
      <formula1>"Not started,In progress,In review,Done,Blocked"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20"/>
    <col collapsed="false" customWidth="true" hidden="false" outlineLevel="0" max="5" min="5" style="0" width="36"/>
  </cols>
  <sheetData>
    <row r="1" customFormat="false" ht="19.7" hidden="false" customHeight="false" outlineLevel="0" collapsed="false">
      <c r="A1" s="1" t="s">
        <v>893</v>
      </c>
    </row>
    <row r="2" customFormat="false" ht="15" hidden="false" customHeight="false" outlineLevel="0" collapsed="false">
      <c r="A2" s="2" t="s">
        <v>894</v>
      </c>
    </row>
    <row r="4" customFormat="false" ht="27.75" hidden="false" customHeight="true" outlineLevel="0" collapsed="false">
      <c r="A4" s="12" t="s">
        <v>209</v>
      </c>
      <c r="B4" s="12" t="s">
        <v>895</v>
      </c>
      <c r="C4" s="12" t="s">
        <v>896</v>
      </c>
      <c r="D4" s="12" t="s">
        <v>897</v>
      </c>
      <c r="E4" s="12" t="s">
        <v>31</v>
      </c>
    </row>
    <row r="5" customFormat="false" ht="15" hidden="false" customHeight="false" outlineLevel="0" collapsed="false">
      <c r="A5" s="13" t="s">
        <v>898</v>
      </c>
      <c r="B5" s="13" t="s">
        <v>899</v>
      </c>
      <c r="C5" s="16" t="s">
        <v>900</v>
      </c>
      <c r="D5" s="13"/>
      <c r="E5" s="13"/>
    </row>
    <row r="6" customFormat="false" ht="15" hidden="false" customHeight="false" outlineLevel="0" collapsed="false">
      <c r="A6" s="15" t="s">
        <v>898</v>
      </c>
      <c r="B6" s="15" t="s">
        <v>901</v>
      </c>
      <c r="C6" s="17" t="s">
        <v>902</v>
      </c>
      <c r="D6" s="15"/>
      <c r="E6" s="15"/>
    </row>
    <row r="7" customFormat="false" ht="15" hidden="false" customHeight="false" outlineLevel="0" collapsed="false">
      <c r="A7" s="13" t="s">
        <v>898</v>
      </c>
      <c r="B7" s="13" t="s">
        <v>903</v>
      </c>
      <c r="C7" s="18" t="s">
        <v>904</v>
      </c>
      <c r="D7" s="13"/>
      <c r="E7" s="13"/>
    </row>
    <row r="8" customFormat="false" ht="15" hidden="false" customHeight="false" outlineLevel="0" collapsed="false">
      <c r="A8" s="15" t="s">
        <v>898</v>
      </c>
      <c r="B8" s="15" t="s">
        <v>905</v>
      </c>
      <c r="C8" s="19" t="s">
        <v>906</v>
      </c>
      <c r="D8" s="15"/>
      <c r="E8" s="15"/>
    </row>
    <row r="9" customFormat="false" ht="15" hidden="false" customHeight="false" outlineLevel="0" collapsed="false">
      <c r="A9" s="13" t="s">
        <v>898</v>
      </c>
      <c r="B9" s="13" t="s">
        <v>907</v>
      </c>
      <c r="C9" s="20" t="s">
        <v>908</v>
      </c>
      <c r="D9" s="13"/>
      <c r="E9" s="13"/>
    </row>
    <row r="10" customFormat="false" ht="15" hidden="false" customHeight="false" outlineLevel="0" collapsed="false">
      <c r="A10" s="15" t="s">
        <v>898</v>
      </c>
      <c r="B10" s="15" t="s">
        <v>909</v>
      </c>
      <c r="C10" s="21" t="s">
        <v>910</v>
      </c>
      <c r="D10" s="15"/>
      <c r="E10" s="15" t="s">
        <v>911</v>
      </c>
    </row>
    <row r="11" customFormat="false" ht="15" hidden="false" customHeight="false" outlineLevel="0" collapsed="false">
      <c r="A11" s="13" t="s">
        <v>898</v>
      </c>
      <c r="B11" s="13" t="s">
        <v>912</v>
      </c>
      <c r="C11" s="22" t="s">
        <v>913</v>
      </c>
      <c r="D11" s="13"/>
      <c r="E11" s="13" t="s">
        <v>914</v>
      </c>
    </row>
    <row r="12" customFormat="false" ht="15" hidden="false" customHeight="false" outlineLevel="0" collapsed="false">
      <c r="A12" s="15" t="s">
        <v>898</v>
      </c>
      <c r="B12" s="15" t="s">
        <v>915</v>
      </c>
      <c r="C12" s="23" t="s">
        <v>916</v>
      </c>
      <c r="D12" s="15"/>
      <c r="E12" s="15"/>
    </row>
    <row r="13" customFormat="false" ht="15" hidden="false" customHeight="false" outlineLevel="0" collapsed="false">
      <c r="A13" s="13" t="s">
        <v>898</v>
      </c>
      <c r="B13" s="13" t="s">
        <v>917</v>
      </c>
      <c r="C13" s="24" t="s">
        <v>918</v>
      </c>
      <c r="D13" s="13"/>
      <c r="E13" s="13"/>
    </row>
    <row r="14" customFormat="false" ht="15" hidden="false" customHeight="false" outlineLevel="0" collapsed="false">
      <c r="A14" s="15" t="s">
        <v>898</v>
      </c>
      <c r="B14" s="15" t="s">
        <v>919</v>
      </c>
      <c r="C14" s="25" t="s">
        <v>920</v>
      </c>
      <c r="D14" s="15"/>
      <c r="E14" s="15"/>
    </row>
    <row r="15" customFormat="false" ht="15" hidden="false" customHeight="false" outlineLevel="0" collapsed="false">
      <c r="A15" s="13" t="s">
        <v>898</v>
      </c>
      <c r="B15" s="13" t="s">
        <v>921</v>
      </c>
      <c r="C15" s="26" t="s">
        <v>922</v>
      </c>
      <c r="D15" s="13"/>
      <c r="E15" s="13"/>
    </row>
    <row r="16" customFormat="false" ht="15" hidden="false" customHeight="false" outlineLevel="0" collapsed="false">
      <c r="A16" s="15" t="s">
        <v>923</v>
      </c>
      <c r="B16" s="15" t="s">
        <v>924</v>
      </c>
      <c r="C16" s="27" t="s">
        <v>925</v>
      </c>
      <c r="D16" s="15"/>
      <c r="E16" s="15"/>
    </row>
    <row r="17" customFormat="false" ht="15" hidden="false" customHeight="false" outlineLevel="0" collapsed="false">
      <c r="A17" s="13" t="s">
        <v>923</v>
      </c>
      <c r="B17" s="13" t="s">
        <v>926</v>
      </c>
      <c r="C17" s="28" t="s">
        <v>927</v>
      </c>
      <c r="D17" s="13"/>
      <c r="E17" s="13"/>
    </row>
    <row r="18" customFormat="false" ht="15" hidden="false" customHeight="false" outlineLevel="0" collapsed="false">
      <c r="A18" s="15" t="s">
        <v>923</v>
      </c>
      <c r="B18" s="15" t="s">
        <v>928</v>
      </c>
      <c r="C18" s="29" t="s">
        <v>929</v>
      </c>
      <c r="D18" s="15"/>
      <c r="E18" s="15"/>
    </row>
    <row r="19" customFormat="false" ht="15" hidden="false" customHeight="false" outlineLevel="0" collapsed="false">
      <c r="A19" s="13" t="s">
        <v>923</v>
      </c>
      <c r="B19" s="13" t="s">
        <v>930</v>
      </c>
      <c r="C19" s="30" t="s">
        <v>931</v>
      </c>
      <c r="D19" s="13"/>
      <c r="E19" s="13"/>
    </row>
    <row r="20" customFormat="false" ht="15" hidden="false" customHeight="false" outlineLevel="0" collapsed="false">
      <c r="A20" s="15" t="s">
        <v>923</v>
      </c>
      <c r="B20" s="15" t="s">
        <v>932</v>
      </c>
      <c r="C20" s="31" t="s">
        <v>933</v>
      </c>
      <c r="D20" s="15"/>
      <c r="E20" s="15"/>
    </row>
    <row r="21" customFormat="false" ht="15" hidden="false" customHeight="false" outlineLevel="0" collapsed="false">
      <c r="A21" s="13" t="s">
        <v>923</v>
      </c>
      <c r="B21" s="13" t="s">
        <v>934</v>
      </c>
      <c r="C21" s="32" t="s">
        <v>935</v>
      </c>
      <c r="D21" s="13"/>
      <c r="E21" s="13"/>
    </row>
    <row r="22" customFormat="false" ht="15" hidden="false" customHeight="false" outlineLevel="0" collapsed="false">
      <c r="A22" s="15" t="s">
        <v>923</v>
      </c>
      <c r="B22" s="15" t="s">
        <v>936</v>
      </c>
      <c r="C22" s="33" t="s">
        <v>937</v>
      </c>
      <c r="D22" s="15"/>
      <c r="E22" s="15"/>
    </row>
    <row r="23" customFormat="false" ht="15" hidden="false" customHeight="false" outlineLevel="0" collapsed="false">
      <c r="A23" s="13" t="s">
        <v>923</v>
      </c>
      <c r="B23" s="13" t="s">
        <v>938</v>
      </c>
      <c r="C23" s="34" t="s">
        <v>939</v>
      </c>
      <c r="D23" s="13"/>
      <c r="E23" s="13"/>
    </row>
    <row r="24" customFormat="false" ht="15" hidden="false" customHeight="false" outlineLevel="0" collapsed="false">
      <c r="A24" s="15" t="s">
        <v>923</v>
      </c>
      <c r="B24" s="15" t="s">
        <v>940</v>
      </c>
      <c r="C24" s="35" t="s">
        <v>941</v>
      </c>
      <c r="D24" s="15"/>
      <c r="E24" s="15"/>
    </row>
    <row r="25" customFormat="false" ht="15" hidden="false" customHeight="false" outlineLevel="0" collapsed="false">
      <c r="A25" s="13" t="s">
        <v>923</v>
      </c>
      <c r="B25" s="13" t="s">
        <v>942</v>
      </c>
      <c r="C25" s="36" t="s">
        <v>943</v>
      </c>
      <c r="D25" s="13"/>
      <c r="E25" s="13"/>
    </row>
    <row r="26" customFormat="false" ht="15" hidden="false" customHeight="false" outlineLevel="0" collapsed="false">
      <c r="A26" s="15" t="s">
        <v>923</v>
      </c>
      <c r="B26" s="15" t="s">
        <v>944</v>
      </c>
      <c r="C26" s="37" t="s">
        <v>945</v>
      </c>
      <c r="D26" s="15"/>
      <c r="E26" s="15"/>
    </row>
    <row r="27" customFormat="false" ht="15" hidden="false" customHeight="false" outlineLevel="0" collapsed="false">
      <c r="A27" s="13" t="s">
        <v>923</v>
      </c>
      <c r="B27" s="13" t="s">
        <v>946</v>
      </c>
      <c r="C27" s="38" t="s">
        <v>947</v>
      </c>
      <c r="D27" s="13"/>
      <c r="E27" s="13"/>
    </row>
    <row r="28" customFormat="false" ht="15" hidden="false" customHeight="false" outlineLevel="0" collapsed="false">
      <c r="A28" s="15" t="s">
        <v>948</v>
      </c>
      <c r="B28" s="15" t="s">
        <v>949</v>
      </c>
      <c r="C28" s="38" t="s">
        <v>947</v>
      </c>
      <c r="D28" s="28" t="s">
        <v>927</v>
      </c>
      <c r="E28" s="15"/>
    </row>
    <row r="29" customFormat="false" ht="15" hidden="false" customHeight="false" outlineLevel="0" collapsed="false">
      <c r="A29" s="13" t="s">
        <v>948</v>
      </c>
      <c r="B29" s="13" t="s">
        <v>950</v>
      </c>
      <c r="C29" s="37" t="s">
        <v>945</v>
      </c>
      <c r="D29" s="27" t="s">
        <v>925</v>
      </c>
      <c r="E29" s="13"/>
    </row>
    <row r="30" customFormat="false" ht="15" hidden="false" customHeight="false" outlineLevel="0" collapsed="false">
      <c r="A30" s="15" t="s">
        <v>948</v>
      </c>
      <c r="B30" s="15" t="s">
        <v>951</v>
      </c>
      <c r="C30" s="36" t="s">
        <v>943</v>
      </c>
      <c r="D30" s="29" t="s">
        <v>929</v>
      </c>
      <c r="E30" s="15"/>
    </row>
    <row r="31" customFormat="false" ht="15" hidden="false" customHeight="false" outlineLevel="0" collapsed="false">
      <c r="A31" s="13" t="s">
        <v>948</v>
      </c>
      <c r="B31" s="13" t="s">
        <v>952</v>
      </c>
      <c r="C31" s="35" t="s">
        <v>941</v>
      </c>
      <c r="D31" s="30" t="s">
        <v>931</v>
      </c>
      <c r="E31" s="13"/>
    </row>
    <row r="32" customFormat="false" ht="15" hidden="false" customHeight="false" outlineLevel="0" collapsed="false">
      <c r="A32" s="15" t="s">
        <v>948</v>
      </c>
      <c r="B32" s="15" t="s">
        <v>953</v>
      </c>
      <c r="C32" s="34" t="s">
        <v>939</v>
      </c>
      <c r="D32" s="31" t="s">
        <v>933</v>
      </c>
      <c r="E32" s="15"/>
    </row>
    <row r="33" customFormat="false" ht="15" hidden="false" customHeight="false" outlineLevel="0" collapsed="false">
      <c r="A33" s="13" t="s">
        <v>948</v>
      </c>
      <c r="B33" s="13" t="s">
        <v>804</v>
      </c>
      <c r="C33" s="28" t="s">
        <v>927</v>
      </c>
      <c r="D33" s="37" t="s">
        <v>945</v>
      </c>
      <c r="E33" s="13"/>
    </row>
    <row r="34" customFormat="false" ht="15" hidden="false" customHeight="false" outlineLevel="0" collapsed="false">
      <c r="A34" s="15" t="s">
        <v>948</v>
      </c>
      <c r="B34" s="15" t="s">
        <v>954</v>
      </c>
      <c r="C34" s="31" t="s">
        <v>933</v>
      </c>
      <c r="D34" s="34" t="s">
        <v>939</v>
      </c>
      <c r="E34" s="15"/>
    </row>
    <row r="35" customFormat="false" ht="15" hidden="false" customHeight="false" outlineLevel="0" collapsed="false">
      <c r="A35" s="13" t="s">
        <v>948</v>
      </c>
      <c r="B35" s="13" t="s">
        <v>955</v>
      </c>
      <c r="C35" s="32" t="s">
        <v>935</v>
      </c>
      <c r="D35" s="33" t="s">
        <v>937</v>
      </c>
      <c r="E35" s="13"/>
    </row>
    <row r="36" customFormat="false" ht="15" hidden="false" customHeight="false" outlineLevel="0" collapsed="false">
      <c r="A36" s="15" t="s">
        <v>948</v>
      </c>
      <c r="B36" s="15" t="s">
        <v>956</v>
      </c>
      <c r="C36" s="21" t="s">
        <v>910</v>
      </c>
      <c r="D36" s="22" t="s">
        <v>913</v>
      </c>
      <c r="E36" s="15"/>
    </row>
    <row r="37" customFormat="false" ht="15" hidden="false" customHeight="false" outlineLevel="0" collapsed="false">
      <c r="A37" s="13" t="s">
        <v>948</v>
      </c>
      <c r="B37" s="13" t="s">
        <v>957</v>
      </c>
      <c r="C37" s="22" t="s">
        <v>913</v>
      </c>
      <c r="D37" s="23" t="s">
        <v>916</v>
      </c>
      <c r="E37" s="13"/>
    </row>
    <row r="38" customFormat="false" ht="15" hidden="false" customHeight="false" outlineLevel="0" collapsed="false">
      <c r="A38" s="15" t="s">
        <v>948</v>
      </c>
      <c r="B38" s="15" t="s">
        <v>958</v>
      </c>
      <c r="C38" s="26" t="s">
        <v>922</v>
      </c>
      <c r="D38" s="16" t="s">
        <v>900</v>
      </c>
      <c r="E38" s="15"/>
    </row>
    <row r="39" customFormat="false" ht="15" hidden="false" customHeight="false" outlineLevel="0" collapsed="false">
      <c r="A39" s="13" t="s">
        <v>959</v>
      </c>
      <c r="B39" s="13" t="s">
        <v>960</v>
      </c>
      <c r="C39" s="39" t="s">
        <v>961</v>
      </c>
      <c r="D39" s="13"/>
      <c r="E39" s="13" t="s">
        <v>962</v>
      </c>
    </row>
    <row r="40" customFormat="false" ht="15" hidden="false" customHeight="false" outlineLevel="0" collapsed="false">
      <c r="A40" s="15" t="s">
        <v>959</v>
      </c>
      <c r="B40" s="15" t="s">
        <v>963</v>
      </c>
      <c r="C40" s="40" t="s">
        <v>964</v>
      </c>
      <c r="D40" s="15"/>
      <c r="E40" s="15" t="s">
        <v>965</v>
      </c>
    </row>
    <row r="41" customFormat="false" ht="15" hidden="false" customHeight="false" outlineLevel="0" collapsed="false">
      <c r="A41" s="13" t="s">
        <v>959</v>
      </c>
      <c r="B41" s="13" t="s">
        <v>966</v>
      </c>
      <c r="C41" s="41" t="s">
        <v>967</v>
      </c>
      <c r="D41" s="13"/>
      <c r="E41" s="13" t="s">
        <v>968</v>
      </c>
    </row>
    <row r="42" customFormat="false" ht="15" hidden="false" customHeight="false" outlineLevel="0" collapsed="false">
      <c r="A42" s="15" t="s">
        <v>959</v>
      </c>
      <c r="B42" s="15" t="s">
        <v>969</v>
      </c>
      <c r="C42" s="42" t="s">
        <v>970</v>
      </c>
      <c r="D42" s="15"/>
      <c r="E42" s="15" t="s">
        <v>971</v>
      </c>
    </row>
    <row r="43" customFormat="false" ht="15" hidden="false" customHeight="false" outlineLevel="0" collapsed="false">
      <c r="A43" s="13" t="s">
        <v>959</v>
      </c>
      <c r="B43" s="13" t="s">
        <v>972</v>
      </c>
      <c r="C43" s="43" t="s">
        <v>973</v>
      </c>
      <c r="D43" s="13"/>
      <c r="E43" s="13" t="s">
        <v>974</v>
      </c>
    </row>
    <row r="44" customFormat="false" ht="15" hidden="false" customHeight="false" outlineLevel="0" collapsed="false">
      <c r="A44" s="15" t="s">
        <v>975</v>
      </c>
      <c r="B44" s="15" t="s">
        <v>976</v>
      </c>
      <c r="C44" s="21" t="s">
        <v>910</v>
      </c>
      <c r="D44" s="44" t="s">
        <v>977</v>
      </c>
      <c r="E44" s="15" t="s">
        <v>978</v>
      </c>
    </row>
    <row r="45" customFormat="false" ht="15" hidden="false" customHeight="false" outlineLevel="0" collapsed="false">
      <c r="A45" s="13" t="s">
        <v>975</v>
      </c>
      <c r="B45" s="13" t="s">
        <v>979</v>
      </c>
      <c r="C45" s="23" t="s">
        <v>916</v>
      </c>
      <c r="D45" s="45" t="s">
        <v>980</v>
      </c>
      <c r="E45" s="13" t="s">
        <v>981</v>
      </c>
    </row>
    <row r="46" customFormat="false" ht="15" hidden="false" customHeight="false" outlineLevel="0" collapsed="false">
      <c r="A46" s="15" t="s">
        <v>975</v>
      </c>
      <c r="B46" s="15" t="s">
        <v>982</v>
      </c>
      <c r="C46" s="46" t="s">
        <v>983</v>
      </c>
      <c r="D46" s="39" t="s">
        <v>961</v>
      </c>
      <c r="E46" s="15" t="s">
        <v>978</v>
      </c>
    </row>
  </sheetData>
  <autoFilter ref="A4:E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2026-10-15T16:44:43Z</dcterms:created>
  <dc:creator>openpyxl</dc:creator>
  <dc:description/>
  <dc:language>en-US</dc:language>
  <cp:lastModifiedBy/>
  <dcterms:modified xsi:type="dcterms:W3CDTF">2026-10-15T16:44:43Z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